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Not run</t>
        </is>
      </c>
      <c r="G2" s="28" t="inlineStr">
        <is>
          <t>Unassigned</t>
        </is>
      </c>
      <c r="H2" s="28" t="inlineStr"/>
      <c r="I2" s="28" t="inlineStr">
        <is>
          <t>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</t>
        </is>
      </c>
      <c r="K2" s="28" t="inlineStr">
        <is>
          <t>Workbook: Threat Map row 6; docs/phase-1/W7-plus-plus-test-objectives.md</t>
        </is>
      </c>
      <c r="L2" s="28" t="inlineStr">
        <is>
          <t>2026-10-17</t>
        </is>
      </c>
      <c r="M2" s="28" t="n"/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Not run</t>
        </is>
      </c>
      <c r="G3" s="28" t="inlineStr">
        <is>
          <t>Unassigned</t>
        </is>
      </c>
      <c r="H3" s="28" t="inlineStr"/>
      <c r="I3" s="28" t="inlineStr">
        <is>
          <t>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</t>
        </is>
      </c>
      <c r="K3" s="28" t="inlineStr">
        <is>
          <t>Workbook: Threat Map row 7; docs/phase-1/W7-plus-plus-test-objectives.md</t>
        </is>
      </c>
      <c r="L3" s="28" t="inlineStr">
        <is>
          <t>2026-10-17</t>
        </is>
      </c>
      <c r="M3" s="28" t="n"/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</t>
        </is>
      </c>
      <c r="K4" s="28" t="inlineStr">
        <is>
          <t>Workbook: Threat Map row 8; docs/phase-1/W7-plus-plus-test-objectives.md</t>
        </is>
      </c>
      <c r="L4" s="28" t="inlineStr">
        <is>
          <t>2026-10-17</t>
        </is>
      </c>
      <c r="M4" s="28" t="n"/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Not run</t>
        </is>
      </c>
      <c r="G5" s="28" t="inlineStr">
        <is>
          <t>Unassigned</t>
        </is>
      </c>
      <c r="H5" s="28" t="inlineStr"/>
      <c r="I5" s="28" t="inlineStr">
        <is>
          <t>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</t>
        </is>
      </c>
      <c r="K5" s="28" t="inlineStr">
        <is>
          <t>Workbook: Threat Map row 9; docs/phase-1/W7-plus-plus-test-objectives.md</t>
        </is>
      </c>
      <c r="L5" s="28" t="inlineStr">
        <is>
          <t>2026-10-17</t>
        </is>
      </c>
      <c r="M5" s="28" t="n"/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Not run</t>
        </is>
      </c>
      <c r="G6" s="28" t="inlineStr">
        <is>
          <t>Unassigned</t>
        </is>
      </c>
      <c r="H6" s="28" t="inlineStr"/>
      <c r="I6" s="28" t="inlineStr">
        <is>
          <t>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</t>
        </is>
      </c>
      <c r="K6" s="28" t="inlineStr">
        <is>
          <t>Workbook: Threat Map row 10; docs/phase-1/W7-plus-plus-test-objectives.md</t>
        </is>
      </c>
      <c r="L6" s="28" t="inlineStr">
        <is>
          <t>2026-10-17</t>
        </is>
      </c>
      <c r="M6" s="28" t="n"/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Not run</t>
        </is>
      </c>
      <c r="G7" s="28" t="inlineStr">
        <is>
          <t>Unassigned</t>
        </is>
      </c>
      <c r="H7" s="28" t="inlineStr"/>
      <c r="I7" s="28" t="inlineStr">
        <is>
          <t>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</t>
        </is>
      </c>
      <c r="K7" s="28" t="inlineStr">
        <is>
          <t>Workbook: Threat Map row 11; docs/phase-1/W7-plus-plus-test-objectives.md</t>
        </is>
      </c>
      <c r="L7" s="28" t="inlineStr">
        <is>
          <t>2026-10-17</t>
        </is>
      </c>
      <c r="M7" s="28" t="n"/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Not run</t>
        </is>
      </c>
      <c r="G8" s="28" t="inlineStr">
        <is>
          <t>Unassigned</t>
        </is>
      </c>
      <c r="H8" s="28" t="inlineStr"/>
      <c r="I8" s="28" t="inlineStr">
        <is>
          <t>Original workbook claim, not independently qualified. See original row.</t>
        </is>
      </c>
      <c r="J8" s="28" t="inlineStr">
        <is>
          <t>Evict, reload, compare authority: identical; no file-system path involved. Coverage: Round-trip every lump type</t>
        </is>
      </c>
      <c r="K8" s="28" t="inlineStr">
        <is>
          <t>Workbook: Threat Map row 12; docs/phase-1/W7-plus-plus-test-objectives.md</t>
        </is>
      </c>
      <c r="L8" s="28" t="inlineStr">
        <is>
          <t>2026-10-17</t>
        </is>
      </c>
      <c r="M8" s="28" t="n"/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</t>
        </is>
      </c>
      <c r="K9" s="28" t="inlineStr">
        <is>
          <t>Workbook: Threat Map row 13; docs/phase-1/W7-plus-plus-test-objectives.md</t>
        </is>
      </c>
      <c r="L9" s="28" t="inlineStr">
        <is>
          <t>2026-10-17</t>
        </is>
      </c>
      <c r="M9" s="28" t="n"/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Not run</t>
        </is>
      </c>
      <c r="G10" s="28" t="inlineStr">
        <is>
          <t>Unassigned</t>
        </is>
      </c>
      <c r="H10" s="28" t="inlineStr"/>
      <c r="I10" s="28" t="inlineStr">
        <is>
          <t>Original workbook claim, not independently qualified. See original row.</t>
        </is>
      </c>
      <c r="J10" s="28" t="inlineStr">
        <is>
          <t>Callee retains its return path and invokes it twice; second call faults. Coverage: All return paths</t>
        </is>
      </c>
      <c r="K10" s="28" t="inlineStr">
        <is>
          <t>Workbook: Threat Map row 14; docs/phase-1/W7-plus-plus-test-objectives.md</t>
        </is>
      </c>
      <c r="L10" s="28" t="inlineStr">
        <is>
          <t>2026-10-17</t>
        </is>
      </c>
      <c r="M10" s="28" t="n"/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Original workbook claim, not independently qualified. See original row.</t>
        </is>
      </c>
      <c r="J11" s="28" t="inlineStr">
        <is>
          <t>Racing writers to a shared lump: serialized or faulted. Coverage: Randomised interleavings</t>
        </is>
      </c>
      <c r="K11" s="28" t="inlineStr">
        <is>
          <t>Workbook: Threat Map row 15; docs/phase-1/W7-plus-plus-test-objectives.md</t>
        </is>
      </c>
      <c r="L11" s="28" t="inlineStr">
        <is>
          <t>2026-10-17</t>
        </is>
      </c>
      <c r="M11" s="28" t="n"/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Not run</t>
        </is>
      </c>
      <c r="G12" s="28" t="inlineStr">
        <is>
          <t>Unassigned</t>
        </is>
      </c>
      <c r="H12" s="28" t="inlineStr"/>
      <c r="I12" s="28" t="inlineStr">
        <is>
          <t>Original workbook claim, not independently qualified. See original row.</t>
        </is>
      </c>
      <c r="J12" s="28" t="inlineStr">
        <is>
          <t>Every invocation attributable to originating womb. Coverage: Trace every call chain in test suite</t>
        </is>
      </c>
      <c r="K12" s="28" t="inlineStr">
        <is>
          <t>Workbook: Threat Map row 16; docs/phase-1/W7-plus-plus-test-objectives.md</t>
        </is>
      </c>
      <c r="L12" s="28" t="inlineStr">
        <is>
          <t>2026-10-17</t>
        </is>
      </c>
      <c r="M12" s="28" t="n"/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Not run</t>
        </is>
      </c>
      <c r="G13" s="28" t="inlineStr">
        <is>
          <t>Unassigned</t>
        </is>
      </c>
      <c r="H13" s="28" t="inlineStr"/>
      <c r="I13" s="28" t="inlineStr">
        <is>
          <t>Original workbook claim, not independently qualified. See original row.</t>
        </is>
      </c>
      <c r="J13" s="28" t="inlineStr">
        <is>
          <t>Reachability: callee holds no outward write authority at entry. Coverage: Closure over callee c-list</t>
        </is>
      </c>
      <c r="K13" s="28" t="inlineStr">
        <is>
          <t>Workbook: Threat Map row 17; docs/phase-1/W7-plus-plus-test-objectives.md</t>
        </is>
      </c>
      <c r="L13" s="28" t="inlineStr">
        <is>
          <t>2026-10-17</t>
        </is>
      </c>
      <c r="M13" s="28" t="n"/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Original workbook claim, not independently qualified. See original row.</t>
        </is>
      </c>
      <c r="J14" s="28" t="inlineStr">
        <is>
          <t>— Coverage: —</t>
        </is>
      </c>
      <c r="K14" s="28" t="inlineStr">
        <is>
          <t>Workbook: Threat Map row 18; docs/phase-1/W7-plus-plus-test-objectives.md</t>
        </is>
      </c>
      <c r="L14" s="28" t="inlineStr">
        <is>
          <t>2026-10-17</t>
        </is>
      </c>
      <c r="M14" s="28" t="n"/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Original workbook claim, not independently qualified. See original row.</t>
        </is>
      </c>
      <c r="J15" s="28" t="inlineStr">
        <is>
          <t>— Coverage: Reproducible bitstreams narrow, do not close</t>
        </is>
      </c>
      <c r="K15" s="28" t="inlineStr">
        <is>
          <t>Workbook: Threat Map row 19; docs/phase-1/W7-plus-plus-test-objectives.md</t>
        </is>
      </c>
      <c r="L15" s="28" t="inlineStr">
        <is>
          <t>2026-10-17</t>
        </is>
      </c>
      <c r="M15" s="28" t="n"/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Original workbook claim, not independently qualified. See original row.</t>
        </is>
      </c>
      <c r="J16" s="28" t="inlineStr">
        <is>
          <t>— Coverage: —</t>
        </is>
      </c>
      <c r="K16" s="28" t="inlineStr">
        <is>
          <t>Workbook: Threat Map row 20; docs/phase-1/W7-plus-plus-test-objectives.md</t>
        </is>
      </c>
      <c r="L16" s="28" t="inlineStr">
        <is>
          <t>2026-10-17</t>
        </is>
      </c>
      <c r="M16" s="28" t="n"/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Not run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Defined objective; full acceptance not established by this tracker.</t>
        </is>
      </c>
      <c r="J41" s="28" t="inlineStr"/>
      <c r="K41" s="28" t="inlineStr">
        <is>
          <t>docs/phase-1/04-release/isa-to-fpga-alignment-plan.md</t>
        </is>
      </c>
      <c r="L41" s="28" t="inlineStr">
        <is>
          <t>2026-10-17</t>
        </is>
      </c>
      <c r="M41" s="28" t="n"/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Not run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</t>
        </is>
      </c>
      <c r="K44" s="28" t="inlineStr">
        <is>
          <t>docs/phase-1/W7-plus-plus-test-objectives.md</t>
        </is>
      </c>
      <c r="L44" s="28" t="inlineStr">
        <is>
          <t>2026-10-17</t>
        </is>
      </c>
      <c r="M44" s="28" t="n"/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Not run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</t>
        </is>
      </c>
      <c r="K51" s="28" t="inlineStr">
        <is>
          <t>docs/phase-1/W7-plus-plus-test-objectives.md</t>
        </is>
      </c>
      <c r="L51" s="28" t="inlineStr">
        <is>
          <t>2026-10-17</t>
        </is>
      </c>
      <c r="M51" s="28" t="inlineStr">
        <is>
          <t>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</t>
        </is>
      </c>
      <c r="K58" s="28" t="inlineStr">
        <is>
          <t>docs/reviews/mint-phase1/open-issues.md</t>
        </is>
      </c>
      <c r="L58" s="28" t="inlineStr">
        <is>
          <t>2026-10-17</t>
        </is>
      </c>
      <c r="M58" s="28" t="n"/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</t>
        </is>
      </c>
      <c r="K61" s="28" t="inlineStr">
        <is>
          <t>docs/reviews/mint-phase1/open-issues.md</t>
        </is>
      </c>
      <c r="L61" s="28" t="inlineStr">
        <is>
          <t>2026-10-17</t>
        </is>
      </c>
      <c r="M61" s="28" t="n"/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</t>
        </is>
      </c>
      <c r="K62" s="28" t="inlineStr">
        <is>
          <t>docs/reviews/mint-phase1/open-issues.md</t>
        </is>
      </c>
      <c r="L62" s="28" t="inlineStr">
        <is>
          <t>2026-10-17</t>
        </is>
      </c>
      <c r="M62" s="28" t="n"/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</t>
        </is>
      </c>
      <c r="K64" s="28" t="inlineStr">
        <is>
          <t>docs/reviews/mint-phase1/open-issues.md</t>
        </is>
      </c>
      <c r="L64" s="28" t="inlineStr">
        <is>
          <t>2026-10-17</t>
        </is>
      </c>
      <c r="M64" s="28" t="n"/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</t>
        </is>
      </c>
      <c r="K69" s="28" t="inlineStr">
        <is>
          <t>simulator/test_editor_roundtrip.js</t>
        </is>
      </c>
      <c r="L69" s="28" t="inlineStr">
        <is>
          <t>2026-10-17</t>
        </is>
      </c>
      <c r="M69" s="28" t="n"/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Needs verification</t>
        </is>
      </c>
      <c r="G70" s="28" t="inlineStr">
        <is>
          <t>Unassigned</t>
        </is>
      </c>
      <c r="H70" s="28" t="inlineStr"/>
      <c r="I70" s="28" t="inlineStr">
        <is>
          <t>Fresh partial evidence: ADD-modal 36/36; boot-authority and single-save JavaScript checks pass. Admission no longer depends on active catalog rows. Server fixture failures and integrated browser acceptance remain; not closed.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BASE-02: docs/reviews/phase1-baseline/README.md; docs/reviews/phase1-baseline/namespace-authority-progress.md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</t>
        </is>
      </c>
      <c r="K73" s="28" t="inlineStr">
        <is>
          <t>docs/phase-1/01-isa/instruction-set.md</t>
        </is>
      </c>
      <c r="L73" s="28" t="inlineStr">
        <is>
          <t>2026-10-17</t>
        </is>
      </c>
      <c r="M73" s="28" t="inlineStr">
        <is>
          <t>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G1 finds entry/continuation mismatch and unproven result authority.</t>
        </is>
      </c>
      <c r="J75" s="28" t="inlineStr">
        <is>
          <t>Resolve ISA contract; prove legal binding and result LOAD through real gates.</t>
        </is>
      </c>
      <c r="K75" s="28" t="inlineStr">
        <is>
          <t>docs/reviews/mint-phase1/context-feasibility.md</t>
        </is>
      </c>
      <c r="L75" s="28" t="inlineStr">
        <is>
          <t>2026-10-17</t>
        </is>
      </c>
      <c r="M75" s="28" t="n"/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</t>
        </is>
      </c>
      <c r="K82" s="28" t="inlineStr">
        <is>
          <t>docs/reviews/mint-phase1/namespace-update.md</t>
        </is>
      </c>
      <c r="L82" s="28" t="inlineStr">
        <is>
          <t>2026-10-17</t>
        </is>
      </c>
      <c r="M82" s="28" t="inlineStr">
        <is>
          <t>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</t>
        </is>
      </c>
      <c r="K83" s="28" t="inlineStr">
        <is>
          <t>docs/reviews/mint-phase1/namespace-update.md</t>
        </is>
      </c>
      <c r="L83" s="28" t="inlineStr">
        <is>
          <t>2026-10-17</t>
        </is>
      </c>
      <c r="M83" s="28" t="n"/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</t>
        </is>
      </c>
      <c r="K86" s="28" t="inlineStr">
        <is>
          <t>docs/phase-1/01-isa/instruction-set.md</t>
        </is>
      </c>
      <c r="L86" s="28" t="inlineStr">
        <is>
          <t>2026-10-17</t>
        </is>
      </c>
      <c r="M86" s="28" t="inlineStr">
        <is>
          <t>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Current fixtures and legacy saved image layouts differ; no silent binary reinterpretation.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</t>
        </is>
      </c>
      <c r="K90" s="28" t="inlineStr">
        <is>
          <t>simulator/test_alice_mallory_lab.js</t>
        </is>
      </c>
      <c r="L90" s="28" t="inlineStr">
        <is>
          <t>2026-10-17</t>
        </is>
      </c>
      <c r="M90" s="28" t="inlineStr">
        <is>
          <t>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</t>
        </is>
      </c>
      <c r="K91" s="28" t="inlineStr">
        <is>
          <t>docs/wukong-release-chain.md</t>
        </is>
      </c>
      <c r="L91" s="28" t="inlineStr">
        <is>
          <t>2026-10-17</t>
        </is>
      </c>
      <c r="M91" s="28" t="inlineStr">
        <is>
          <t>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No physical Phase 1 acceptance performed for this tracker.</t>
        </is>
      </c>
      <c r="J92" s="28" t="inlineStr">
        <is>
          <t>After separate authorization, run H19/H20 with exact board/build identity and retained raw observations.</t>
        </is>
      </c>
      <c r="K92" s="28" t="inlineStr">
        <is>
          <t>docs/phase-1/04-release/isa-to-fpga-alignment-plan.md</t>
        </is>
      </c>
      <c r="L92" s="28" t="inlineStr">
        <is>
          <t>2026-10-17</t>
        </is>
      </c>
      <c r="M92" s="28" t="inlineStr">
        <is>
          <t>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Fresh R26 selected-bytes check passes; ADD-modal 36/36. Admission suite: 17 passed, 1 copied boot-fixture allocation failure. Broader diagnostic run had 91 passed/46 failed including isolation/setup failures; not release qualification.</t>
        </is>
      </c>
      <c r="J93" s="28" t="inlineStr">
        <is>
          <t>Isolate current failures, classify stale fixtures versus defects; record commands, output, identities and reruns.</t>
        </is>
      </c>
      <c r="K93" s="28" t="inlineStr">
        <is>
          <t>scripts/run-all-tests.sh</t>
        </is>
      </c>
      <c r="L93" s="28" t="inlineStr">
        <is>
          <t>2026-10-17</t>
        </is>
      </c>
      <c r="M93" s="28" t="inlineStr">
        <is>
          <t>BASE-01: docs/reviews/phase1-baseline/README.md; BASE-03: docs/reviews/phase1-baseline/README.md; BASE-08: docs/reviews/phase1-baseline/README.md; docs/reviews/phase1-baseline/namespace-authority-progress.md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</t>
        </is>
      </c>
      <c r="K101" s="28" t="inlineStr">
        <is>
          <t>server/lumps/ns-state.json; docs/reviews/mint-phase1/open-issues.md</t>
        </is>
      </c>
      <c r="L101" s="28" t="inlineStr">
        <is>
          <t>2026-10-17</t>
        </is>
      </c>
      <c r="M101" s="28" t="n"/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</t>
        </is>
      </c>
      <c r="K104" s="28" t="inlineStr">
        <is>
          <t>simulator/test_alice_mallory_lab.js; simulator/test_alice_mallory_tuple_lab.js</t>
        </is>
      </c>
      <c r="L104" s="28" t="inlineStr">
        <is>
          <t>2026-10-17</t>
        </is>
      </c>
      <c r="M104" s="28" t="n"/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</t>
        </is>
      </c>
      <c r="K105" s="28" t="inlineStr">
        <is>
          <t>simulator/test_alice_mallory_lab.js; simulator/test_alice_mallory_tuple_lab.js</t>
        </is>
      </c>
      <c r="L105" s="28" t="inlineStr">
        <is>
          <t>2026-10-17</t>
        </is>
      </c>
      <c r="M105" s="28" t="n"/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</t>
        </is>
      </c>
      <c r="K106" s="28" t="inlineStr">
        <is>
          <t>docs/reviews/phase1-baseline/README.md</t>
        </is>
      </c>
      <c r="L106" s="28" t="inlineStr">
        <is>
          <t>2026-10-17</t>
        </is>
      </c>
      <c r="M106" s="28" t="inlineStr">
        <is>
          <t>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</t>
        </is>
      </c>
      <c r="K113" s="28" t="inlineStr">
        <is>
          <t>docs/reviews/phase1-baseline/README.md</t>
        </is>
      </c>
      <c r="L113" s="28" t="inlineStr">
        <is>
          <t>2026-10-17</t>
        </is>
      </c>
      <c r="M113" s="28" t="inlineStr">
        <is>
          <t>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2026-10-17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/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/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/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/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/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/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/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/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/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/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Unweighted row closure, NOT percentage of ISA/security proved. Software gaps are not automatically bitstream gates.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</t>
        </is>
      </c>
      <c r="D14" s="28" t="inlineStr">
        <is>
          <t>Blocked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/>
      </c>
      <c r="C15" s="28">
        <f>COUNTIFS(Completeness!B2:B10000,A15,Completeness!F2:F10000,"Complete")</f>
        <v/>
      </c>
      <c r="D15" s="28">
        <f>COUNTIFS(Completeness!B2:B10000,A15,Completeness!F2:F10000,"Blocked")</f>
        <v/>
      </c>
    </row>
    <row r="16" ht="48" customHeight="1" s="14">
      <c r="A16" s="28" t="inlineStr">
        <is>
          <t>Hardware acceptance</t>
        </is>
      </c>
      <c r="B16" s="28">
        <f>COUNTIF(Completeness!B2:B10000,A16)</f>
        <v/>
      </c>
      <c r="C16" s="28">
        <f>COUNTIFS(Completeness!B2:B10000,A16,Completeness!F2:F10000,"Complete")</f>
        <v/>
      </c>
      <c r="D16" s="28">
        <f>COUNTIFS(Completeness!B2:B10000,A16,Completeness!F2:F10000,"Blocked")</f>
        <v/>
      </c>
    </row>
    <row r="17" ht="48" customHeight="1" s="14">
      <c r="A17" s="28" t="inlineStr">
        <is>
          <t>IDE</t>
        </is>
      </c>
      <c r="B17" s="28">
        <f>COUNTIF(Completeness!B2:B10000,A17)</f>
        <v/>
      </c>
      <c r="C17" s="28">
        <f>COUNTIFS(Completeness!B2:B10000,A17,Completeness!F2:F10000,"Complete")</f>
        <v/>
      </c>
      <c r="D17" s="28">
        <f>COUNTIFS(Completeness!B2:B10000,A17,Completeness!F2:F10000,"Blocked")</f>
        <v/>
      </c>
    </row>
    <row r="18" ht="48" customHeight="1" s="14">
      <c r="A18" s="28" t="inlineStr">
        <is>
          <t>Mint gates</t>
        </is>
      </c>
      <c r="B18" s="28">
        <f>COUNTIF(Completeness!B2:B10000,A18)</f>
        <v/>
      </c>
      <c r="C18" s="28">
        <f>COUNTIFS(Completeness!B2:B10000,A18,Completeness!F2:F10000,"Complete")</f>
        <v/>
      </c>
      <c r="D18" s="28">
        <f>COUNTIFS(Completeness!B2:B10000,A18,Completeness!F2:F10000,"Blocked")</f>
        <v/>
      </c>
    </row>
    <row r="19" ht="48" customHeight="1" s="14">
      <c r="A19" s="28" t="inlineStr">
        <is>
          <t>Missing functions</t>
        </is>
      </c>
      <c r="B19" s="28">
        <f>COUNTIF(Completeness!B2:B10000,A19)</f>
        <v/>
      </c>
      <c r="C19" s="28">
        <f>COUNTIFS(Completeness!B2:B10000,A19,Completeness!F2:F10000,"Complete")</f>
        <v/>
      </c>
      <c r="D19" s="28">
        <f>COUNTIFS(Completeness!B2:B10000,A19,Completeness!F2:F10000,"Blocked")</f>
        <v/>
      </c>
    </row>
    <row r="20" ht="48" customHeight="1" s="14">
      <c r="A20" s="28" t="inlineStr">
        <is>
          <t>Named abstractions</t>
        </is>
      </c>
      <c r="B20" s="28">
        <f>COUNTIF(Completeness!B2:B10000,A20)</f>
        <v/>
      </c>
      <c r="C20" s="28">
        <f>COUNTIFS(Completeness!B2:B10000,A20,Completeness!F2:F10000,"Complete")</f>
        <v/>
      </c>
      <c r="D20" s="28">
        <f>COUNTIFS(Completeness!B2:B10000,A20,Completeness!F2:F10000,"Blocked")</f>
        <v/>
      </c>
    </row>
    <row r="21" ht="48" customHeight="1" s="14">
      <c r="A21" s="28" t="inlineStr">
        <is>
          <t>Performance</t>
        </is>
      </c>
      <c r="B21" s="28">
        <f>COUNTIF(Completeness!B2:B10000,A21)</f>
        <v/>
      </c>
      <c r="C21" s="28">
        <f>COUNTIFS(Completeness!B2:B10000,A21,Completeness!F2:F10000,"Complete")</f>
        <v/>
      </c>
      <c r="D21" s="28">
        <f>COUNTIFS(Completeness!B2:B10000,A21,Completeness!F2:F10000,"Blocked")</f>
        <v/>
      </c>
    </row>
    <row r="22" ht="48" customHeight="1" s="14">
      <c r="A22" s="28" t="inlineStr">
        <is>
          <t>RTL / bitstream</t>
        </is>
      </c>
      <c r="B22" s="28">
        <f>COUNTIF(Completeness!B2:B10000,A22)</f>
        <v/>
      </c>
      <c r="C22" s="28">
        <f>COUNTIFS(Completeness!B2:B10000,A22,Completeness!F2:F10000,"Complete")</f>
        <v/>
      </c>
      <c r="D22" s="28">
        <f>COUNTIFS(Completeness!B2:B10000,A22,Completeness!F2:F10000,"Blocked")</f>
        <v/>
      </c>
    </row>
    <row r="23" ht="48" customHeight="1" s="14">
      <c r="A23" s="28" t="inlineStr">
        <is>
          <t>Seal storage</t>
        </is>
      </c>
      <c r="B23" s="28">
        <f>COUNTIF(Completeness!B2:B10000,A23)</f>
        <v/>
      </c>
      <c r="C23" s="28">
        <f>COUNTIFS(Completeness!B2:B10000,A23,Completeness!F2:F10000,"Complete")</f>
        <v/>
      </c>
      <c r="D23" s="28">
        <f>COUNTIFS(Completeness!B2:B10000,A23,Completeness!F2:F10000,"Blocked")</f>
        <v/>
      </c>
    </row>
    <row r="24" ht="48" customHeight="1" s="14">
      <c r="A24" s="28" t="inlineStr">
        <is>
          <t>Simulator / ISA</t>
        </is>
      </c>
      <c r="B24" s="28">
        <f>COUNTIF(Completeness!B2:B10000,A24)</f>
        <v/>
      </c>
      <c r="C24" s="28">
        <f>COUNTIFS(Completeness!B2:B10000,A24,Completeness!F2:F10000,"Complete")</f>
        <v/>
      </c>
      <c r="D24" s="28">
        <f>COUNTIFS(Completeness!B2:B10000,A24,Completeness!F2:F10000,"Blocked")</f>
        <v/>
      </c>
    </row>
    <row r="25" ht="48" customHeight="1" s="14">
      <c r="A25" s="28" t="inlineStr">
        <is>
          <t>Software acceptance</t>
        </is>
      </c>
      <c r="B25" s="28">
        <f>COUNTIF(Completeness!B2:B10000,A25)</f>
        <v/>
      </c>
      <c r="C25" s="28">
        <f>COUNTIFS(Completeness!B2:B10000,A25,Completeness!F2:F10000,"Complete")</f>
        <v/>
      </c>
      <c r="D25" s="28">
        <f>COUNTIFS(Completeness!B2:B10000,A25,Completeness!F2:F10000,"Blocked")</f>
        <v/>
      </c>
    </row>
    <row r="26" ht="48" customHeight="1" s="14">
      <c r="A26" s="28" t="inlineStr">
        <is>
          <t>Specification</t>
        </is>
      </c>
      <c r="B26" s="28">
        <f>COUNTIF(Completeness!B2:B10000,A26)</f>
        <v/>
      </c>
      <c r="C26" s="28">
        <f>COUNTIFS(Completeness!B2:B10000,A26,Completeness!F2:F10000,"Complete")</f>
        <v/>
      </c>
      <c r="D26" s="28">
        <f>COUNTIFS(Completeness!B2:B10000,A26,Completeness!F2:F10000,"Blocked")</f>
        <v/>
      </c>
    </row>
    <row r="27" ht="48" customHeight="1" s="14">
      <c r="A27" s="28" t="inlineStr">
        <is>
          <t>W7 security</t>
        </is>
      </c>
      <c r="B27" s="28">
        <f>COUNTIF(Completeness!B2:B10000,A27)</f>
        <v/>
      </c>
      <c r="C27" s="28">
        <f>COUNTIFS(Completeness!B2:B10000,A27,Completeness!F2:F10000,"Complete")</f>
        <v/>
      </c>
      <c r="D27" s="28">
        <f>COUNTIFS(Completeness!B2:B10000,A27,Completeness!F2:F10000,"Blocked")</f>
        <v/>
      </c>
    </row>
    <row r="28">
      <c r="A28" s="28" t="inlineStr">
        <is>
          <t>Baseline audit</t>
        </is>
      </c>
      <c r="B28" s="28">
        <f>COUNTIF(Completeness!B2:B10000,A28)</f>
        <v/>
      </c>
      <c r="C28" s="28">
        <f>COUNTIFS(Completeness!B2:B10000,A28,Completeness!F2:F10000,"Complete")</f>
        <v/>
      </c>
      <c r="D28" s="28">
        <f>COUNTIFS(Completeness!B2:B10000,A28,Completeness!F2:F10000,"Blocked")</f>
        <v/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 or decision remains. Blocked: prerequisite authority, contract or mechanism missing. Not run: defined objective with no qualifying run recorded.</t>
        </is>
      </c>
    </row>
    <row r="7" ht="48" customHeight="1" s="14">
      <c r="A7" s="28" t="inlineStr">
        <is>
          <t>No invented status</t>
        </is>
      </c>
      <c r="B7" s="28" t="inlineStr">
        <is>
          <t>No new simulator, RTL or hardware runs were performed to populate this workbook; workflow snapshot failures are leads, not confirmed current defects.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2026-10-17T15:29:16Z</dcterms:modified>
  <cp:revision>0</cp:revision>
</cp:coreProperties>
</file>