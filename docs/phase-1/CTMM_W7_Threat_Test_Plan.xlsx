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Threat Map" sheetId="1" state="visible" r:id="rId1"/>
    <sheet name="Summary" sheetId="2" state="visible" r:id="rId2"/>
    <sheet name="Method" sheetId="3" state="visible" r:id="rId3"/>
    <sheet name="Completeness" sheetId="4" state="visible" r:id="rId4"/>
    <sheet name="Progress" sheetId="5" state="visible" r:id="rId5"/>
    <sheet name="Tracking guide" sheetId="6" state="visible" r:id="rId6"/>
    <sheet name="Baseline audit" sheetId="7" state="visible" r:id="rId7"/>
  </sheets>
  <definedNames>
    <definedName name="_xlnm._FilterDatabase" localSheetId="0" hidden="1">'Threat Map'!$A$5:$M$20</definedName>
    <definedName name="_xlnm._FilterDatabase" localSheetId="3" hidden="1">'Completeness'!$A$1:$N$114</definedName>
    <definedName name="_xlnm.Print_Titles" localSheetId="3">'Completeness'!$1:$1</definedName>
    <definedName name="_xlnm._FilterDatabase" localSheetId="4" hidden="1">'Progress'!$A$1:$D$27</definedName>
    <definedName name="_xlnm.Print_Titles" localSheetId="4">'Progress'!$1:$1</definedName>
    <definedName name="_xlnm._FilterDatabase" localSheetId="5" hidden="1">'Tracking guide'!$A$1:$B$13</definedName>
    <definedName name="_xlnm.Print_Titles" localSheetId="5">'Tracking guide'!$1:$1</definedName>
    <definedName name="_xlnm.Print_Titles" localSheetId="6">'Baseline audit'!$1:$1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family val="2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0" fillId="4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Unknown Author</author>
  </authors>
  <commentList>
    <comment ref="L5" authorId="0" shapeId="0">
      <text>
        <t>PASS = W7 baseline attack succeeds AND the same attack on the CTMM faults at the predicted point.</t>
      </text>
    </comment>
  </commentList>
</comments>
</file>

<file path=xl/tables/table1.xml><?xml version="1.0" encoding="utf-8"?>
<table xmlns="http://schemas.openxmlformats.org/spreadsheetml/2006/main" id="1" name="Phase1Tracker" displayName="Phase1Tracker" ref="A1:N114" headerRowCount="1">
  <autoFilter ref="A1:N105"/>
  <tableColumns count="14">
    <tableColumn id="1" name="ID"/>
    <tableColumn id="2" name="Area"/>
    <tableColumn id="3" name="Requirement / issue"/>
    <tableColumn id="4" name="Scope"/>
    <tableColumn id="5" name="Priority"/>
    <tableColumn id="6" name="Status"/>
    <tableColumn id="7" name="Owner"/>
    <tableColumn id="8" name="Dependencies"/>
    <tableColumn id="9" name="Current evidence / gap"/>
    <tableColumn id="10" name="Closure criterion / next action"/>
    <tableColumn id="11" name="Source reference"/>
    <tableColumn id="12" name="Reviewed date"/>
    <tableColumn id="13" name="Evidence / result link"/>
    <tableColumn id="14" name="Due date"/>
  </tableColumns>
  <tableStyleInfo name="TableStyleMedium2" showRowStripes="1"/>
</table>
</file>

<file path=xl/tables/table2.xml><?xml version="1.0" encoding="utf-8"?>
<table xmlns="http://schemas.openxmlformats.org/spreadsheetml/2006/main" id="2" name="BaselineAudit" displayName="BaselineAudit" ref="A1:F10" headerRowCount="1">
  <autoFilter ref="A1:F10"/>
  <tableColumns count="6">
    <tableColumn id="1" name="ID"/>
    <tableColumn id="2" name="Area"/>
    <tableColumn id="3" name="Classification / confidence"/>
    <tableColumn id="4" name="Observation"/>
    <tableColumn id="5" name="Next action"/>
    <tableColumn id="6" name="Related requirements"/>
  </tableColumns>
  <tableStyleInfo name="TableStyleMedium2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3" min="1" max="1"/>
    <col width="30" customWidth="1" style="13" min="2" max="2"/>
    <col width="10" customWidth="1" style="13" min="3" max="3"/>
    <col width="18" customWidth="1" style="13" min="4" max="4"/>
    <col width="32" customWidth="1" style="13" min="5" max="5"/>
    <col width="16" customWidth="1" style="13" min="6" max="6"/>
    <col width="42" customWidth="1" style="13" min="7" max="7"/>
    <col width="30" customWidth="1" style="13" min="8" max="8"/>
    <col width="22" customWidth="1" style="13" min="9" max="9"/>
    <col width="16" customWidth="1" style="13" min="10" max="10"/>
    <col width="18" customWidth="1" style="13" min="11" max="11"/>
    <col width="9" customWidth="1" style="13" min="12" max="12"/>
    <col width="34" customWidth="1" style="13" min="13" max="13"/>
  </cols>
  <sheetData>
    <row r="1" ht="16.15" customHeight="1" s="14">
      <c r="A1" s="15" t="inlineStr">
        <is>
          <t>Church Machine (CTMM) vs W7 / Scheme 48 — adversarial test plan for W7 open threats</t>
        </is>
      </c>
    </row>
    <row r="2" ht="27.75" customHeight="1" s="14">
      <c r="A2" s="16" t="inlineStr">
        <is>
          <t>Source of threats: J. Rees, 'A Security Kernel Based on the Lambda-Calculus', MIT AI Memo 1564 (1996). CTMM mechanisms from ratified design notes; rows marked 'Unknown' or 'Inferred' are Claude's inference, not ratified design.</t>
        </is>
      </c>
    </row>
    <row r="3" ht="15" customHeight="1" s="14">
      <c r="A3" s="17" t="inlineStr">
        <is>
          <t>Legend: yellow cells are for you to fill in after running each test (W7 baseline result, CTMM result, notes). The Pass column computes itself.</t>
        </is>
      </c>
    </row>
    <row r="4"/>
    <row r="5" ht="23.85" customHeight="1" s="14">
      <c r="A5" s="18" t="inlineStr">
        <is>
          <t>#</t>
        </is>
      </c>
      <c r="B5" s="18" t="inlineStr">
        <is>
          <t>W7 open threat</t>
        </is>
      </c>
      <c r="C5" s="18" t="inlineStr">
        <is>
          <t>Memo §</t>
        </is>
      </c>
      <c r="D5" s="18" t="inlineStr">
        <is>
          <t>Closure category</t>
        </is>
      </c>
      <c r="E5" s="18" t="inlineStr">
        <is>
          <t>CTMM mechanism</t>
        </is>
      </c>
      <c r="F5" s="18" t="inlineStr">
        <is>
          <t>Mechanism status</t>
        </is>
      </c>
      <c r="G5" s="18" t="inlineStr">
        <is>
          <t>Test oracle (what must happen)</t>
        </is>
      </c>
      <c r="H5" s="18" t="inlineStr">
        <is>
          <t>Coverage method</t>
        </is>
      </c>
      <c r="I5" s="18" t="inlineStr">
        <is>
          <t>Evidence class</t>
        </is>
      </c>
      <c r="J5" s="18" t="inlineStr">
        <is>
          <t>W7 baseline result</t>
        </is>
      </c>
      <c r="K5" s="18" t="inlineStr">
        <is>
          <t>CTMM result</t>
        </is>
      </c>
      <c r="L5" s="18" t="inlineStr">
        <is>
          <t>Pass?</t>
        </is>
      </c>
      <c r="M5" s="18" t="inlineStr">
        <is>
          <t>Notes / next action</t>
        </is>
      </c>
    </row>
    <row r="6" ht="35.05" customHeight="1" s="14">
      <c r="A6" s="19" t="n">
        <v>1</v>
      </c>
      <c r="B6" s="19" t="inlineStr">
        <is>
          <t>Revocation impossible</t>
        </is>
      </c>
      <c r="C6" s="19" t="inlineStr">
        <is>
          <t>4.3.5</t>
        </is>
      </c>
      <c r="D6" s="19" t="inlineStr">
        <is>
          <t>Closable now</t>
        </is>
      </c>
      <c r="E6" s="19" t="inlineStr">
        <is>
          <t>GT slot version numbers — O(1) revocation</t>
        </is>
      </c>
      <c r="F6" s="19" t="inlineStr">
        <is>
          <t>Ratified</t>
        </is>
      </c>
      <c r="G6" s="19" t="inlineStr">
        <is>
          <t>Make N copies of a GT; revoke once. Every copy faults; revoke cost independent of N (FPGA cycle counter).</t>
        </is>
      </c>
      <c r="H6" s="19" t="inlineStr">
        <is>
          <t>Sweep N = 1…max c-list size; cycle count must be flat</t>
        </is>
      </c>
      <c r="I6" s="19" t="inlineStr">
        <is>
          <t>Proven (by test + invariant)</t>
        </is>
      </c>
      <c r="J6" s="20" t="n"/>
      <c r="K6" s="20" t="n"/>
      <c r="L6" s="21">
        <f>IF(OR(J6="",K6=""),"Not run",IF(AND(J6="Attack succeeds",K6="Faults as predicted"),"PASS","FAIL"))</f>
        <v/>
      </c>
      <c r="M6" s="20" t="inlineStr">
        <is>
          <t>Recommended first test spec.</t>
        </is>
      </c>
    </row>
    <row r="7" ht="23.85" customHeight="1" s="14">
      <c r="A7" s="19" t="n">
        <v>2</v>
      </c>
      <c r="B7" s="19" t="inlineStr">
        <is>
          <t>Untrusted machine code: forged references</t>
        </is>
      </c>
      <c r="C7" s="19" t="inlineStr">
        <is>
          <t>4.3.3</t>
        </is>
      </c>
      <c r="D7" s="19" t="inlineStr">
        <is>
          <t>Closable now</t>
        </is>
      </c>
      <c r="E7" s="19" t="inlineStr">
        <is>
          <t>Hardware-checked GT on every reference</t>
        </is>
      </c>
      <c r="F7" s="19" t="inlineStr">
        <is>
          <t>Ratified</t>
        </is>
      </c>
      <c r="G7" s="19" t="inlineStr">
        <is>
          <t>Forged bit patterns, data-as-capability, out-of-bounds offsets all fault.</t>
        </is>
      </c>
      <c r="H7" s="19" t="inlineStr">
        <is>
          <t>Exhaustive over typ / tag / version fields; structured fuzz over offsets</t>
        </is>
      </c>
      <c r="I7" s="19" t="inlineStr">
        <is>
          <t>Proven (exhaustive)</t>
        </is>
      </c>
      <c r="J7" s="20" t="n"/>
      <c r="K7" s="20" t="n"/>
      <c r="L7" s="21">
        <f>IF(OR(J7="",K7=""),"Not run",IF(AND(J7="Attack succeeds",K7="Faults as predicted"),"PASS","FAIL"))</f>
        <v/>
      </c>
      <c r="M7" s="20" t="inlineStr">
        <is>
          <t>Strongest claim vs W7.</t>
        </is>
      </c>
    </row>
    <row r="8" ht="23.85" customHeight="1" s="14">
      <c r="A8" s="19" t="n">
        <v>3</v>
      </c>
      <c r="B8" s="19" t="inlineStr">
        <is>
          <t>Reflection: debugger breaks all boundaries</t>
        </is>
      </c>
      <c r="C8" s="19" t="inlineStr">
        <is>
          <t>4.3.4</t>
        </is>
      </c>
      <c r="D8" s="19" t="inlineStr">
        <is>
          <t>Closable now</t>
        </is>
      </c>
      <c r="E8" s="19" t="inlineStr">
        <is>
          <t>Dev/prod split — two root lumps differing by one c-list entry</t>
        </is>
      </c>
      <c r="F8" s="19" t="inlineStr">
        <is>
          <t>Ratified</t>
        </is>
      </c>
      <c r="G8" s="19" t="inlineStr">
        <is>
          <t>Reachability closure from prod root contains no debug authority.</t>
        </is>
      </c>
      <c r="H8" s="19" t="inlineStr">
        <is>
          <t>Graph closure over all c-lists reachable from prod root</t>
        </is>
      </c>
      <c r="I8" s="19" t="inlineStr">
        <is>
          <t>Proven (proof by closure)</t>
        </is>
      </c>
      <c r="J8" s="20" t="n"/>
      <c r="K8" s="20" t="n"/>
      <c r="L8" s="21">
        <f>IF(OR(J8="",K8=""),"Not run",IF(AND(J8="Attack succeeds",K8="Faults as predicted"),"PASS","FAIL"))</f>
        <v/>
      </c>
      <c r="M8" s="20" t="inlineStr">
        <is>
          <t>Stronger than a test.</t>
        </is>
      </c>
    </row>
    <row r="9" ht="35.05" customHeight="1" s="14">
      <c r="A9" s="19" t="n">
        <v>4</v>
      </c>
      <c r="B9" s="19" t="inlineStr">
        <is>
          <t>Ambient authority: ports, load, interaction-environment, dynamic-wind</t>
        </is>
      </c>
      <c r="C9" s="19" t="inlineStr">
        <is>
          <t>3.4</t>
        </is>
      </c>
      <c r="D9" s="19" t="inlineStr">
        <is>
          <t>Closable now</t>
        </is>
      </c>
      <c r="E9" s="19" t="inlineStr">
        <is>
          <t>Womb-and-cord birth; Enter-only outsider permission</t>
        </is>
      </c>
      <c r="F9" s="19" t="inlineStr">
        <is>
          <t>Ratified</t>
        </is>
      </c>
      <c r="G9" s="19" t="inlineStr">
        <is>
          <t>Newborn lump's reachable authority equals exactly what the womb granted.</t>
        </is>
      </c>
      <c r="H9" s="19" t="inlineStr">
        <is>
          <t>Authority census at birth for every lump type</t>
        </is>
      </c>
      <c r="I9" s="19" t="inlineStr">
        <is>
          <t>Proven (by test + invariant)</t>
        </is>
      </c>
      <c r="J9" s="20" t="n"/>
      <c r="K9" s="20" t="n"/>
      <c r="L9" s="21">
        <f>IF(OR(J9="",K9=""),"Not run",IF(AND(J9="Attack succeeds",K9="Faults as predicted"),"PASS","FAIL"))</f>
        <v/>
      </c>
      <c r="M9" s="20" t="n"/>
    </row>
    <row r="10" ht="23.85" customHeight="1" s="14">
      <c r="A10" s="19" t="n">
        <v>5</v>
      </c>
      <c r="B10" s="19" t="inlineStr">
        <is>
          <t>Authentication / sealing not supported</t>
        </is>
      </c>
      <c r="C10" s="19" t="inlineStr">
        <is>
          <t>2.3.3, 4.1</t>
        </is>
      </c>
      <c r="D10" s="19" t="inlineStr">
        <is>
          <t>Closable after spec fix</t>
        </is>
      </c>
      <c r="E10" s="19" t="inlineStr">
        <is>
          <t>Seals; Abstract GTs (typ=11), non-portable by construction</t>
        </is>
      </c>
      <c r="F10" s="19" t="inlineStr">
        <is>
          <t>Ratified (spec conflict)</t>
        </is>
      </c>
      <c r="G10" s="19" t="inlineStr">
        <is>
          <t>Unseal without unsealer faults; exporting an Abstract GT across namespaces faults.</t>
        </is>
      </c>
      <c r="H10" s="19" t="inlineStr">
        <is>
          <t>Exhaustive over namespace pairs</t>
        </is>
      </c>
      <c r="I10" s="19" t="inlineStr">
        <is>
          <t>Modelled until typ conflict resolved</t>
        </is>
      </c>
      <c r="J10" s="20" t="n"/>
      <c r="K10" s="20" t="n"/>
      <c r="L10" s="21">
        <f>IF(OR(J10="",K10=""),"Not run",IF(AND(J10="Attack succeeds",K10="Faults as predicted"),"PASS","FAIL"))</f>
        <v/>
      </c>
      <c r="M10" s="20" t="inlineStr">
        <is>
          <t>Resolve the §0 vs §6 typ contradiction first.</t>
        </is>
      </c>
    </row>
    <row r="11" ht="35.05" customHeight="1" s="14">
      <c r="A11" s="19" t="n">
        <v>6</v>
      </c>
      <c r="B11" s="19" t="inlineStr">
        <is>
          <t>Quotas: one program exhausts memory</t>
        </is>
      </c>
      <c r="C11" s="19" t="inlineStr">
        <is>
          <t>4.3.5</t>
        </is>
      </c>
      <c r="D11" s="19" t="inlineStr">
        <is>
          <t>Closable with bounds</t>
        </is>
      </c>
      <c r="E11" s="19" t="inlineStr">
        <is>
          <t>Per-namespace tracing GC; eviction as pressure relief</t>
        </is>
      </c>
      <c r="F11" s="19" t="inlineStr">
        <is>
          <t>Ratified</t>
        </is>
      </c>
      <c r="G11" s="19" t="inlineStr">
        <is>
          <t>Hostile namespace allocates unboundedly; neighbours see no failure and latency within stated bound.</t>
        </is>
      </c>
      <c r="H11" s="19" t="inlineStr">
        <is>
          <t>Stress test across namespace counts</t>
        </is>
      </c>
      <c r="I11" s="19" t="inlineStr">
        <is>
          <t>Modelled (needs numeric bound)</t>
        </is>
      </c>
      <c r="J11" s="20" t="n"/>
      <c r="K11" s="20" t="n"/>
      <c r="L11" s="21">
        <f>IF(OR(J11="",K11=""),"Not run",IF(AND(J11="Attack succeeds",K11="Faults as predicted"),"PASS","FAIL"))</f>
        <v/>
      </c>
      <c r="M11" s="20" t="inlineStr">
        <is>
          <t>Define the latency bound.</t>
        </is>
      </c>
    </row>
    <row r="12" ht="23.85" customHeight="1" s="14">
      <c r="A12" s="19" t="n">
        <v>7</v>
      </c>
      <c r="B12" s="19" t="inlineStr">
        <is>
          <t>Persistence outside protection</t>
        </is>
      </c>
      <c r="C12" s="19" t="inlineStr">
        <is>
          <t>4.3.5</t>
        </is>
      </c>
      <c r="D12" s="19" t="inlineStr">
        <is>
          <t>Closable with bounds</t>
        </is>
      </c>
      <c r="E12" s="19" t="inlineStr">
        <is>
          <t>LUMP lifecycle</t>
        </is>
      </c>
      <c r="F12" s="19" t="inlineStr">
        <is>
          <t>Ratified</t>
        </is>
      </c>
      <c r="G12" s="19" t="inlineStr">
        <is>
          <t>Evict, reload, compare authority: identical; no file-system path involved.</t>
        </is>
      </c>
      <c r="H12" s="19" t="inlineStr">
        <is>
          <t>Round-trip every lump type</t>
        </is>
      </c>
      <c r="I12" s="19" t="inlineStr">
        <is>
          <t>Modelled</t>
        </is>
      </c>
      <c r="J12" s="20" t="n"/>
      <c r="K12" s="20" t="n"/>
      <c r="L12" s="21">
        <f>IF(OR(J12="",K12=""),"Not run",IF(AND(J12="Attack succeeds",K12="Faults as predicted"),"PASS","FAIL"))</f>
        <v/>
      </c>
      <c r="M12" s="20" t="n"/>
    </row>
    <row r="13" ht="23.85" customHeight="1" s="14">
      <c r="A13" s="19" t="n">
        <v>8</v>
      </c>
      <c r="B13" s="19" t="inlineStr">
        <is>
          <t>Preemption / termination; engine response depends on nesting depth</t>
        </is>
      </c>
      <c r="C13" s="19" t="inlineStr">
        <is>
          <t>4.3.1</t>
        </is>
      </c>
      <c r="D13" s="19" t="inlineStr">
        <is>
          <t>Open in CTMM</t>
        </is>
      </c>
      <c r="E13" s="19" t="inlineStr">
        <is>
          <t>Not on file</t>
        </is>
      </c>
      <c r="F13" s="19" t="inlineStr">
        <is>
          <t>Unknown</t>
        </is>
      </c>
      <c r="G13" s="19" t="inlineStr">
        <is>
          <t>Callee loops or nests deeply; caller regains control in bounded time independent of depth.</t>
        </is>
      </c>
      <c r="H13" s="19" t="inlineStr">
        <is>
          <t>Sweep nesting depth; response time must be flat</t>
        </is>
      </c>
      <c r="I13" s="19" t="inlineStr">
        <is>
          <t>Speculative</t>
        </is>
      </c>
      <c r="J13" s="20" t="n"/>
      <c r="K13" s="20" t="n"/>
      <c r="L13" s="21">
        <f>IF(OR(J13="",K13=""),"Not run",IF(AND(J13="Attack succeeds",K13="Faults as predicted"),"PASS","FAIL"))</f>
        <v/>
      </c>
      <c r="M13" s="20" t="inlineStr">
        <is>
          <t>Hardest gap; critics probe first. Define mechanism.</t>
        </is>
      </c>
    </row>
    <row r="14" ht="23.85" customHeight="1" s="14">
      <c r="A14" s="19" t="n">
        <v>9</v>
      </c>
      <c r="B14" s="19" t="inlineStr">
        <is>
          <t>Continuations invoked multiple times</t>
        </is>
      </c>
      <c r="C14" s="19" t="inlineStr">
        <is>
          <t>4.3.2</t>
        </is>
      </c>
      <c r="D14" s="19" t="inlineStr">
        <is>
          <t>Open in CTMM</t>
        </is>
      </c>
      <c r="E14" s="19" t="inlineStr">
        <is>
          <t>Not on file</t>
        </is>
      </c>
      <c r="F14" s="19" t="inlineStr">
        <is>
          <t>Unknown</t>
        </is>
      </c>
      <c r="G14" s="19" t="inlineStr">
        <is>
          <t>Callee retains its return path and invokes it twice; second call faults.</t>
        </is>
      </c>
      <c r="H14" s="19" t="inlineStr">
        <is>
          <t>All return paths</t>
        </is>
      </c>
      <c r="I14" s="19" t="inlineStr">
        <is>
          <t>Speculative</t>
        </is>
      </c>
      <c r="J14" s="20" t="n"/>
      <c r="K14" s="20" t="n"/>
      <c r="L14" s="21">
        <f>IF(OR(J14="",K14=""),"Not run",IF(AND(J14="Attack succeeds",K14="Faults as predicted"),"PASS","FAIL"))</f>
        <v/>
      </c>
      <c r="M14" s="20" t="inlineStr">
        <is>
          <t>Is return one-shot in the CTMM?</t>
        </is>
      </c>
    </row>
    <row r="15" ht="23.85" customHeight="1" s="14">
      <c r="A15" s="19" t="n">
        <v>10</v>
      </c>
      <c r="B15" s="19" t="inlineStr">
        <is>
          <t>Concurrency: shared cells</t>
        </is>
      </c>
      <c r="C15" s="19" t="inlineStr">
        <is>
          <t>Footnote 3</t>
        </is>
      </c>
      <c r="D15" s="19" t="inlineStr">
        <is>
          <t>Open in CTMM</t>
        </is>
      </c>
      <c r="E15" s="19" t="inlineStr">
        <is>
          <t>Not on file</t>
        </is>
      </c>
      <c r="F15" s="19" t="inlineStr">
        <is>
          <t>Unknown</t>
        </is>
      </c>
      <c r="G15" s="19" t="inlineStr">
        <is>
          <t>Racing writers to a shared lump: serialized or faulted.</t>
        </is>
      </c>
      <c r="H15" s="19" t="inlineStr">
        <is>
          <t>Randomised interleavings</t>
        </is>
      </c>
      <c r="I15" s="19" t="inlineStr">
        <is>
          <t>Speculative</t>
        </is>
      </c>
      <c r="J15" s="20" t="n"/>
      <c r="K15" s="20" t="n"/>
      <c r="L15" s="21">
        <f>IF(OR(J15="",K15=""),"Not run",IF(AND(J15="Attack succeeds",K15="Faults as predicted"),"PASS","FAIL"))</f>
        <v/>
      </c>
      <c r="M15" s="20" t="n"/>
    </row>
    <row r="16" ht="23.85" customHeight="1" s="14">
      <c r="A16" s="19" t="n">
        <v>11</v>
      </c>
      <c r="B16" s="19" t="inlineStr">
        <is>
          <t>Accountability: who acts for whom</t>
        </is>
      </c>
      <c r="C16" s="19" t="inlineStr">
        <is>
          <t>4.3.5</t>
        </is>
      </c>
      <c r="D16" s="19" t="inlineStr">
        <is>
          <t>Partial</t>
        </is>
      </c>
      <c r="E16" s="19" t="inlineStr">
        <is>
          <t>Identity / seal architecture; pioneering window</t>
        </is>
      </c>
      <c r="F16" s="19" t="inlineStr">
        <is>
          <t>Ratified (partial)</t>
        </is>
      </c>
      <c r="G16" s="19" t="inlineStr">
        <is>
          <t>Every invocation attributable to originating womb.</t>
        </is>
      </c>
      <c r="H16" s="19" t="inlineStr">
        <is>
          <t>Trace every call chain in test suite</t>
        </is>
      </c>
      <c r="I16" s="19" t="inlineStr">
        <is>
          <t>Modelled</t>
        </is>
      </c>
      <c r="J16" s="20" t="n"/>
      <c r="K16" s="20" t="n"/>
      <c r="L16" s="21">
        <f>IF(OR(J16="",K16=""),"Not run",IF(AND(J16="Attack succeeds",K16="Faults as predicted"),"PASS","FAIL"))</f>
        <v/>
      </c>
      <c r="M16" s="20" t="inlineStr">
        <is>
          <t>Needs precise definition of 'accountable'.</t>
        </is>
      </c>
    </row>
    <row r="17" ht="35.05" customHeight="1" s="14">
      <c r="A17" s="19" t="n">
        <v>12</v>
      </c>
      <c r="B17" s="19" t="inlineStr">
        <is>
          <t>Schroeder problem: callee remembers/leaks inputs</t>
        </is>
      </c>
      <c r="C17" s="19" t="inlineStr">
        <is>
          <t>4.2.1</t>
        </is>
      </c>
      <c r="D17" s="19" t="inlineStr">
        <is>
          <t>Not closable by test</t>
        </is>
      </c>
      <c r="E17" s="19" t="inlineStr">
        <is>
          <t>Enter-only; no outward write authority at entry</t>
        </is>
      </c>
      <c r="F17" s="19" t="inlineStr">
        <is>
          <t>Inferred</t>
        </is>
      </c>
      <c r="G17" s="19" t="inlineStr">
        <is>
          <t>Reachability: callee holds no outward write authority at entry.</t>
        </is>
      </c>
      <c r="H17" s="19" t="inlineStr">
        <is>
          <t>Closure over callee c-list</t>
        </is>
      </c>
      <c r="I17" s="19" t="inlineStr">
        <is>
          <t>Proven for explicit channels; covert channels open</t>
        </is>
      </c>
      <c r="J17" s="20" t="n"/>
      <c r="K17" s="20" t="n"/>
      <c r="L17" s="21">
        <f>IF(OR(J17="",K17=""),"Not run",IF(AND(J17="Attack succeeds",K17="Faults as predicted"),"PASS","FAIL"))</f>
        <v/>
      </c>
      <c r="M17" s="20" t="inlineStr">
        <is>
          <t>State plainly that timing/covert channels remain.</t>
        </is>
      </c>
    </row>
    <row r="18" ht="23.85" customHeight="1" s="14">
      <c r="A18" s="19" t="n">
        <v>13</v>
      </c>
      <c r="B18" s="19" t="inlineStr">
        <is>
          <t>Undecidability of 'might divulge input'</t>
        </is>
      </c>
      <c r="C18" s="19" t="inlineStr">
        <is>
          <t>2.2.6</t>
        </is>
      </c>
      <c r="D18" s="19" t="inlineStr">
        <is>
          <t>Not closable by test</t>
        </is>
      </c>
      <c r="E18" s="19" t="inlineStr">
        <is>
          <t>—</t>
        </is>
      </c>
      <c r="F18" s="19" t="inlineStr">
        <is>
          <t>n/a</t>
        </is>
      </c>
      <c r="G18" s="19" t="inlineStr">
        <is>
          <t>—</t>
        </is>
      </c>
      <c r="H18" s="19" t="inlineStr">
        <is>
          <t>—</t>
        </is>
      </c>
      <c r="I18" s="19" t="inlineStr">
        <is>
          <t>Mathematical limit</t>
        </is>
      </c>
      <c r="J18" s="20" t="n"/>
      <c r="K18" s="20" t="n"/>
      <c r="L18" s="21">
        <f>IF(OR(J18="",K18=""),"Not run",IF(AND(J18="Attack succeeds",K18="Faults as predicted"),"PASS","FAIL"))</f>
        <v/>
      </c>
      <c r="M18" s="20" t="inlineStr">
        <is>
          <t>CTMM moves the line, does not remove it.</t>
        </is>
      </c>
    </row>
    <row r="19" ht="23.85" customHeight="1" s="14">
      <c r="A19" s="19" t="n">
        <v>14</v>
      </c>
      <c r="B19" s="19" t="inlineStr">
        <is>
          <t>Trust in administrator / manufacturing chain</t>
        </is>
      </c>
      <c r="C19" s="19" t="inlineStr">
        <is>
          <t>2.2.5</t>
        </is>
      </c>
      <c r="D19" s="19" t="inlineStr">
        <is>
          <t>Not closable by test</t>
        </is>
      </c>
      <c r="E19" s="19" t="inlineStr">
        <is>
          <t>Artix-7 silicon + bitstream toolchain</t>
        </is>
      </c>
      <c r="F19" s="19" t="inlineStr">
        <is>
          <t>n/a</t>
        </is>
      </c>
      <c r="G19" s="19" t="inlineStr">
        <is>
          <t>—</t>
        </is>
      </c>
      <c r="H19" s="19" t="inlineStr">
        <is>
          <t>Reproducible bitstreams narrow, do not close</t>
        </is>
      </c>
      <c r="I19" s="19" t="inlineStr">
        <is>
          <t>Out of test scope</t>
        </is>
      </c>
      <c r="J19" s="20" t="n"/>
      <c r="K19" s="20" t="n"/>
      <c r="L19" s="21">
        <f>IF(OR(J19="",K19=""),"Not run",IF(AND(J19="Attack succeeds",K19="Faults as predicted"),"PASS","FAIL"))</f>
        <v/>
      </c>
      <c r="M19" s="20" t="n"/>
    </row>
    <row r="20" ht="23.85" customHeight="1" s="14">
      <c r="A20" s="19" t="n">
        <v>15</v>
      </c>
      <c r="B20" s="19" t="inlineStr">
        <is>
          <t>Distribution / remote invocation</t>
        </is>
      </c>
      <c r="C20" s="19" t="inlineStr">
        <is>
          <t>4.3.5</t>
        </is>
      </c>
      <c r="D20" s="19" t="inlineStr">
        <is>
          <t>Out of scope</t>
        </is>
      </c>
      <c r="E20" s="19" t="inlineStr">
        <is>
          <t>—</t>
        </is>
      </c>
      <c r="F20" s="19" t="inlineStr">
        <is>
          <t>n/a</t>
        </is>
      </c>
      <c r="G20" s="19" t="inlineStr">
        <is>
          <t>—</t>
        </is>
      </c>
      <c r="H20" s="19" t="inlineStr">
        <is>
          <t>—</t>
        </is>
      </c>
      <c r="I20" s="19" t="inlineStr">
        <is>
          <t>Out of scope</t>
        </is>
      </c>
      <c r="J20" s="20" t="n"/>
      <c r="K20" s="20" t="n"/>
      <c r="L20" s="21">
        <f>IF(OR(J20="",K20=""),"Not run",IF(AND(J20="Attack succeeds",K20="Faults as predicted"),"PASS","FAIL"))</f>
        <v/>
      </c>
      <c r="M20" s="20" t="inlineStr">
        <is>
          <t>Declare explicitly rather than leave implied.</t>
        </is>
      </c>
    </row>
  </sheetData>
  <autoFilter ref="A5:M20"/>
  <mergeCells count="2">
    <mergeCell ref="A3:N3"/>
    <mergeCell ref="A2:N2"/>
  </mergeCells>
  <dataValidations count="2">
    <dataValidation sqref="J6:J20" showDropDown="0" showInputMessage="0" showErrorMessage="0" allowBlank="1" type="list" errorStyle="stop" operator="between">
      <formula1>"Attack succeeds,Attack fails,Not applicable"</formula1>
      <formula2>0</formula2>
    </dataValidation>
    <dataValidation sqref="K6:K20" showDropDown="0" showInputMessage="0" showErrorMessage="0" allowBlank="1" type="list" errorStyle="stop" operator="between">
      <formula1>"Faults as predicted,Faults elsewhere,No fault,Not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3" min="1" max="1"/>
    <col width="12" customWidth="1" style="13" min="2" max="4"/>
  </cols>
  <sheetData>
    <row r="1" ht="16.15" customHeight="1" s="14">
      <c r="A1" s="15" t="inlineStr">
        <is>
          <t>Summary by closure category</t>
        </is>
      </c>
    </row>
    <row r="2"/>
    <row r="3" ht="15" customHeight="1" s="14">
      <c r="A3" s="22" t="inlineStr">
        <is>
          <t>Closure category</t>
        </is>
      </c>
      <c r="B3" s="22" t="inlineStr">
        <is>
          <t>Threats</t>
        </is>
      </c>
      <c r="C3" s="22" t="inlineStr">
        <is>
          <t>Passed</t>
        </is>
      </c>
      <c r="D3" s="22" t="inlineStr">
        <is>
          <t>Not run</t>
        </is>
      </c>
    </row>
    <row r="4" ht="15" customHeight="1" s="14">
      <c r="A4" s="23" t="inlineStr">
        <is>
          <t>Closable now</t>
        </is>
      </c>
      <c r="B4" s="23">
        <f>COUNTIF('Threat Map'!$D$6:$D$20,A4)</f>
        <v/>
      </c>
      <c r="C4" s="23">
        <f>COUNTIFS('Threat Map'!$D$6:$D$20,A4,'Threat Map'!$L$6:$L$20,"PASS")</f>
        <v/>
      </c>
      <c r="D4" s="23">
        <f>COUNTIFS('Threat Map'!$D$6:$D$20,A4,'Threat Map'!$L$6:$L$20,"Not run")</f>
        <v/>
      </c>
    </row>
    <row r="5" ht="15" customHeight="1" s="14">
      <c r="A5" s="23" t="inlineStr">
        <is>
          <t>Closable after spec fix</t>
        </is>
      </c>
      <c r="B5" s="23">
        <f>COUNTIF('Threat Map'!$D$6:$D$20,A5)</f>
        <v/>
      </c>
      <c r="C5" s="23">
        <f>COUNTIFS('Threat Map'!$D$6:$D$20,A5,'Threat Map'!$L$6:$L$20,"PASS")</f>
        <v/>
      </c>
      <c r="D5" s="23">
        <f>COUNTIFS('Threat Map'!$D$6:$D$20,A5,'Threat Map'!$L$6:$L$20,"Not run")</f>
        <v/>
      </c>
    </row>
    <row r="6" ht="15" customHeight="1" s="14">
      <c r="A6" s="23" t="inlineStr">
        <is>
          <t>Closable with bounds</t>
        </is>
      </c>
      <c r="B6" s="23">
        <f>COUNTIF('Threat Map'!$D$6:$D$20,A6)</f>
        <v/>
      </c>
      <c r="C6" s="23">
        <f>COUNTIFS('Threat Map'!$D$6:$D$20,A6,'Threat Map'!$L$6:$L$20,"PASS")</f>
        <v/>
      </c>
      <c r="D6" s="23">
        <f>COUNTIFS('Threat Map'!$D$6:$D$20,A6,'Threat Map'!$L$6:$L$20,"Not run")</f>
        <v/>
      </c>
    </row>
    <row r="7" ht="15" customHeight="1" s="14">
      <c r="A7" s="23" t="inlineStr">
        <is>
          <t>Partial</t>
        </is>
      </c>
      <c r="B7" s="23">
        <f>COUNTIF('Threat Map'!$D$6:$D$20,A7)</f>
        <v/>
      </c>
      <c r="C7" s="23">
        <f>COUNTIFS('Threat Map'!$D$6:$D$20,A7,'Threat Map'!$L$6:$L$20,"PASS")</f>
        <v/>
      </c>
      <c r="D7" s="23">
        <f>COUNTIFS('Threat Map'!$D$6:$D$20,A7,'Threat Map'!$L$6:$L$20,"Not run")</f>
        <v/>
      </c>
    </row>
    <row r="8" ht="15" customHeight="1" s="14">
      <c r="A8" s="23" t="inlineStr">
        <is>
          <t>Open in CTMM</t>
        </is>
      </c>
      <c r="B8" s="23">
        <f>COUNTIF('Threat Map'!$D$6:$D$20,A8)</f>
        <v/>
      </c>
      <c r="C8" s="23">
        <f>COUNTIFS('Threat Map'!$D$6:$D$20,A8,'Threat Map'!$L$6:$L$20,"PASS")</f>
        <v/>
      </c>
      <c r="D8" s="23">
        <f>COUNTIFS('Threat Map'!$D$6:$D$20,A8,'Threat Map'!$L$6:$L$20,"Not run")</f>
        <v/>
      </c>
    </row>
    <row r="9" ht="15" customHeight="1" s="14">
      <c r="A9" s="23" t="inlineStr">
        <is>
          <t>Not closable by test</t>
        </is>
      </c>
      <c r="B9" s="23">
        <f>COUNTIF('Threat Map'!$D$6:$D$20,A9)</f>
        <v/>
      </c>
      <c r="C9" s="23">
        <f>COUNTIFS('Threat Map'!$D$6:$D$20,A9,'Threat Map'!$L$6:$L$20,"PASS")</f>
        <v/>
      </c>
      <c r="D9" s="23">
        <f>COUNTIFS('Threat Map'!$D$6:$D$20,A9,'Threat Map'!$L$6:$L$20,"Not run")</f>
        <v/>
      </c>
    </row>
    <row r="10" ht="15" customHeight="1" s="14">
      <c r="A10" s="23" t="inlineStr">
        <is>
          <t>Out of scope</t>
        </is>
      </c>
      <c r="B10" s="23">
        <f>COUNTIF('Threat Map'!$D$6:$D$20,A10)</f>
        <v/>
      </c>
      <c r="C10" s="23">
        <f>COUNTIFS('Threat Map'!$D$6:$D$20,A10,'Threat Map'!$L$6:$L$20,"PASS")</f>
        <v/>
      </c>
      <c r="D10" s="23">
        <f>COUNTIFS('Threat Map'!$D$6:$D$20,A10,'Threat Map'!$L$6:$L$20,"Not run")</f>
        <v/>
      </c>
    </row>
    <row r="11" ht="15" customHeight="1" s="14">
      <c r="A11" s="24" t="inlineStr">
        <is>
          <t>Total</t>
        </is>
      </c>
      <c r="B11" s="24">
        <f>SUM(B4:B10)</f>
        <v/>
      </c>
      <c r="C11" s="24">
        <f>SUM(C4:C10)</f>
        <v/>
      </c>
      <c r="D11" s="24">
        <f>SUM(D4:D10)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100" customWidth="1" style="13" min="2" max="2"/>
  </cols>
  <sheetData>
    <row r="1" ht="16.15" customHeight="1" s="14">
      <c r="A1" s="15" t="inlineStr">
        <is>
          <t>Test method</t>
        </is>
      </c>
    </row>
    <row r="2"/>
    <row r="3" ht="23.85" customHeight="1" s="14">
      <c r="A3" s="25" t="inlineStr">
        <is>
          <t>What closes a threat</t>
        </is>
      </c>
      <c r="B3" s="26" t="inlineStr">
        <is>
          <t>A test only shows one attack failed. A threat is closed by: (1) a named CTMM mechanism, (2) an invariant true by construction, (3) an adversarial test plus a coverage argument. Small typ/tag fields make exhaustive coverage feasible.</t>
        </is>
      </c>
    </row>
    <row r="4" ht="15" customHeight="1" s="14">
      <c r="A4" s="25" t="inlineStr">
        <is>
          <t>Step 1 — Baseline</t>
        </is>
      </c>
      <c r="B4" s="26" t="inlineStr">
        <is>
          <t>Write the attack as a W7 / Scheme 48 program and show it succeeds.</t>
        </is>
      </c>
    </row>
    <row r="5" ht="15" customHeight="1" s="14">
      <c r="A5" s="25" t="inlineStr">
        <is>
          <t>Step 2 — Port</t>
        </is>
      </c>
      <c r="B5" s="26" t="inlineStr">
        <is>
          <t>Translate the same attack into a CTMM lump, using the telecom running example (dot.phone.Dial).</t>
        </is>
      </c>
    </row>
    <row r="6" ht="15" customHeight="1" s="14">
      <c r="A6" s="25" t="inlineStr">
        <is>
          <t>Step 3 — Oracle</t>
        </is>
      </c>
      <c r="B6" s="26" t="inlineStr">
        <is>
          <t>State the expected fault: which fault, at which instruction, within what cycle bound (FPGA cycle counter).</t>
        </is>
      </c>
    </row>
    <row r="7" ht="15" customHeight="1" s="14">
      <c r="A7" s="25" t="inlineStr">
        <is>
          <t>Step 4 — Coverage</t>
        </is>
      </c>
      <c r="B7" s="26" t="inlineStr">
        <is>
          <t>Run exhaustively or by structured fuzzing over the relevant field: GT typ, version, offset, or c-list slot.</t>
        </is>
      </c>
    </row>
    <row r="8" ht="15" customHeight="1" s="14">
      <c r="A8" s="25" t="inlineStr">
        <is>
          <t>Pass criterion</t>
        </is>
      </c>
      <c r="B8" s="26" t="inlineStr">
        <is>
          <t>W7 baseline attack succeeds AND the CTMM version faults at the predicted point.</t>
        </is>
      </c>
    </row>
    <row r="9" ht="23.85" customHeight="1" s="14">
      <c r="A9" s="25" t="inlineStr">
        <is>
          <t>Evidence classes</t>
        </is>
      </c>
      <c r="B9" s="26" t="inlineStr">
        <is>
          <t>Proven = invariant + exhaustive test or closure proof. Modelled = mechanism specified, bound or spec still to fix. Speculative = no mechanism on file.</t>
        </is>
      </c>
    </row>
    <row r="10" ht="23.85" customHeight="1" s="14">
      <c r="A10" s="25" t="inlineStr">
        <is>
          <t>Source</t>
        </is>
      </c>
      <c r="B10" s="26" t="inlineStr">
        <is>
          <t>Rees, J. 'A Security Kernel Based on the Lambda-Calculus', MIT AI Memo 1564, 1996. https://dspace.mit.edu/handle/1721.1/5944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14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style="14" min="1" max="1"/>
    <col width="23" customWidth="1" style="14" min="2" max="2"/>
    <col width="48" customWidth="1" style="14" min="3" max="3"/>
    <col width="24" customWidth="1" style="14" min="4" max="4"/>
    <col width="12" customWidth="1" style="14" min="5" max="5"/>
    <col width="23" customWidth="1" style="14" min="6" max="6"/>
    <col width="20" customWidth="1" style="14" min="7" max="7"/>
    <col width="28" customWidth="1" style="14" min="8" max="8"/>
    <col width="65" customWidth="1" style="14" min="9" max="9"/>
    <col width="70" customWidth="1" style="14" min="10" max="10"/>
    <col width="60" customWidth="1" style="14" min="11" max="11"/>
    <col width="16" customWidth="1" style="14" min="12" max="12"/>
    <col width="50" customWidth="1" style="14" min="13" max="13"/>
    <col width="16" customWidth="1" style="14" min="14" max="14"/>
  </cols>
  <sheetData>
    <row r="1">
      <c r="A1" s="27" t="inlineStr">
        <is>
          <t>ID</t>
        </is>
      </c>
      <c r="B1" s="27" t="inlineStr">
        <is>
          <t>Area</t>
        </is>
      </c>
      <c r="C1" s="27" t="inlineStr">
        <is>
          <t>Requirement / issue</t>
        </is>
      </c>
      <c r="D1" s="27" t="inlineStr">
        <is>
          <t>Scope</t>
        </is>
      </c>
      <c r="E1" s="27" t="inlineStr">
        <is>
          <t>Priority</t>
        </is>
      </c>
      <c r="F1" s="27" t="inlineStr">
        <is>
          <t>Status</t>
        </is>
      </c>
      <c r="G1" s="27" t="inlineStr">
        <is>
          <t>Owner</t>
        </is>
      </c>
      <c r="H1" s="27" t="inlineStr">
        <is>
          <t>Dependencies</t>
        </is>
      </c>
      <c r="I1" s="27" t="inlineStr">
        <is>
          <t>Current evidence / gap</t>
        </is>
      </c>
      <c r="J1" s="27" t="inlineStr">
        <is>
          <t>Closure criterion / next action</t>
        </is>
      </c>
      <c r="K1" s="27" t="inlineStr">
        <is>
          <t>Source reference</t>
        </is>
      </c>
      <c r="L1" s="27" t="inlineStr">
        <is>
          <t>Reviewed date</t>
        </is>
      </c>
      <c r="M1" s="27" t="inlineStr">
        <is>
          <t>Evidence / result link</t>
        </is>
      </c>
      <c r="N1" s="27" t="inlineStr">
        <is>
          <t>Due date</t>
        </is>
      </c>
    </row>
    <row r="2" ht="90" customHeight="1" s="14">
      <c r="A2" s="28" t="inlineStr">
        <is>
          <t>W7-01</t>
        </is>
      </c>
      <c r="B2" s="28" t="inlineStr">
        <is>
          <t>W7 security</t>
        </is>
      </c>
      <c r="C2" s="28" t="inlineStr">
        <is>
          <t>Revocation impossible</t>
        </is>
      </c>
      <c r="D2" s="28" t="inlineStr">
        <is>
          <t>Phase 1 assurance</t>
        </is>
      </c>
      <c r="E2" s="28" t="inlineStr">
        <is>
          <t>High</t>
        </is>
      </c>
      <c r="F2" s="28" t="inlineStr">
        <is>
          <t>Not run</t>
        </is>
      </c>
      <c r="G2" s="28" t="inlineStr">
        <is>
          <t>Unassigned</t>
        </is>
      </c>
      <c r="H2" s="28" t="inlineStr"/>
      <c r="I2" s="28" t="inlineStr">
        <is>
          <t>Original workbook claim, not independently qualified. See original row.</t>
        </is>
      </c>
      <c r="J2" s="28" t="inlineStr">
        <is>
          <t>Make N copies of a GT; revoke once. Every copy faults; revoke cost independent of N (FPGA cycle counter). Coverage: Sweep N = 1…max c-list size; cycle count must be flat</t>
        </is>
      </c>
      <c r="K2" s="28" t="inlineStr">
        <is>
          <t>Workbook: Threat Map row 6; docs/phase-1/W7-plus-plus-test-objectives.md</t>
        </is>
      </c>
      <c r="L2" s="28" t="inlineStr">
        <is>
          <t>2026-10-17</t>
        </is>
      </c>
      <c r="M2" s="28" t="n"/>
      <c r="N2" s="28" t="n"/>
    </row>
    <row r="3" ht="90" customHeight="1" s="14">
      <c r="A3" s="28" t="inlineStr">
        <is>
          <t>W7-02</t>
        </is>
      </c>
      <c r="B3" s="28" t="inlineStr">
        <is>
          <t>W7 security</t>
        </is>
      </c>
      <c r="C3" s="28" t="inlineStr">
        <is>
          <t>Untrusted machine code: forged references</t>
        </is>
      </c>
      <c r="D3" s="28" t="inlineStr">
        <is>
          <t>Phase 1 assurance</t>
        </is>
      </c>
      <c r="E3" s="28" t="inlineStr">
        <is>
          <t>High</t>
        </is>
      </c>
      <c r="F3" s="28" t="inlineStr">
        <is>
          <t>Not run</t>
        </is>
      </c>
      <c r="G3" s="28" t="inlineStr">
        <is>
          <t>Unassigned</t>
        </is>
      </c>
      <c r="H3" s="28" t="inlineStr"/>
      <c r="I3" s="28" t="inlineStr">
        <is>
          <t>Original workbook claim, not independently qualified. See original row.</t>
        </is>
      </c>
      <c r="J3" s="28" t="inlineStr">
        <is>
          <t>Forged bit patterns, data-as-capability, out-of-bounds offsets all fault. Coverage: Exhaustive over typ / tag / version fields; structured fuzz over offsets</t>
        </is>
      </c>
      <c r="K3" s="28" t="inlineStr">
        <is>
          <t>Workbook: Threat Map row 7; docs/phase-1/W7-plus-plus-test-objectives.md</t>
        </is>
      </c>
      <c r="L3" s="28" t="inlineStr">
        <is>
          <t>2026-10-17</t>
        </is>
      </c>
      <c r="M3" s="28" t="n"/>
      <c r="N3" s="28" t="n"/>
    </row>
    <row r="4" ht="90" customHeight="1" s="14">
      <c r="A4" s="28" t="inlineStr">
        <is>
          <t>W7-03</t>
        </is>
      </c>
      <c r="B4" s="28" t="inlineStr">
        <is>
          <t>W7 security</t>
        </is>
      </c>
      <c r="C4" s="28" t="inlineStr">
        <is>
          <t>Reflection: debugger breaks all boundaries</t>
        </is>
      </c>
      <c r="D4" s="28" t="inlineStr">
        <is>
          <t>Phase 1 assurance</t>
        </is>
      </c>
      <c r="E4" s="28" t="inlineStr">
        <is>
          <t>High</t>
        </is>
      </c>
      <c r="F4" s="28" t="inlineStr">
        <is>
          <t>Not run</t>
        </is>
      </c>
      <c r="G4" s="28" t="inlineStr">
        <is>
          <t>Unassigned</t>
        </is>
      </c>
      <c r="H4" s="28" t="inlineStr"/>
      <c r="I4" s="28" t="inlineStr">
        <is>
          <t>Original workbook claim, not independently qualified. See original row.</t>
        </is>
      </c>
      <c r="J4" s="28" t="inlineStr">
        <is>
          <t>Reachability closure from prod root contains no debug authority. Coverage: Graph closure over all c-lists reachable from prod root</t>
        </is>
      </c>
      <c r="K4" s="28" t="inlineStr">
        <is>
          <t>Workbook: Threat Map row 8; docs/phase-1/W7-plus-plus-test-objectives.md</t>
        </is>
      </c>
      <c r="L4" s="28" t="inlineStr">
        <is>
          <t>2026-10-17</t>
        </is>
      </c>
      <c r="M4" s="28" t="n"/>
      <c r="N4" s="28" t="n"/>
    </row>
    <row r="5" ht="90" customHeight="1" s="14">
      <c r="A5" s="28" t="inlineStr">
        <is>
          <t>W7-04</t>
        </is>
      </c>
      <c r="B5" s="28" t="inlineStr">
        <is>
          <t>W7 security</t>
        </is>
      </c>
      <c r="C5" s="28" t="inlineStr">
        <is>
          <t>Ambient authority: ports, load, interaction-environment, dynamic-wind</t>
        </is>
      </c>
      <c r="D5" s="28" t="inlineStr">
        <is>
          <t>Phase 1 assurance</t>
        </is>
      </c>
      <c r="E5" s="28" t="inlineStr">
        <is>
          <t>High</t>
        </is>
      </c>
      <c r="F5" s="28" t="inlineStr">
        <is>
          <t>Not run</t>
        </is>
      </c>
      <c r="G5" s="28" t="inlineStr">
        <is>
          <t>Unassigned</t>
        </is>
      </c>
      <c r="H5" s="28" t="inlineStr"/>
      <c r="I5" s="28" t="inlineStr">
        <is>
          <t>Original workbook claim, not independently qualified. See original row.</t>
        </is>
      </c>
      <c r="J5" s="28" t="inlineStr">
        <is>
          <t>Newborn lump's reachable authority equals exactly what the womb granted. Coverage: Authority census at birth for every lump type</t>
        </is>
      </c>
      <c r="K5" s="28" t="inlineStr">
        <is>
          <t>Workbook: Threat Map row 9; docs/phase-1/W7-plus-plus-test-objectives.md</t>
        </is>
      </c>
      <c r="L5" s="28" t="inlineStr">
        <is>
          <t>2026-10-17</t>
        </is>
      </c>
      <c r="M5" s="28" t="n"/>
      <c r="N5" s="28" t="n"/>
    </row>
    <row r="6" ht="90" customHeight="1" s="14">
      <c r="A6" s="28" t="inlineStr">
        <is>
          <t>W7-05</t>
        </is>
      </c>
      <c r="B6" s="28" t="inlineStr">
        <is>
          <t>W7 security</t>
        </is>
      </c>
      <c r="C6" s="28" t="inlineStr">
        <is>
          <t>Authentication / sealing not supported</t>
        </is>
      </c>
      <c r="D6" s="28" t="inlineStr">
        <is>
          <t>Phase 1 assurance</t>
        </is>
      </c>
      <c r="E6" s="28" t="inlineStr">
        <is>
          <t>High</t>
        </is>
      </c>
      <c r="F6" s="28" t="inlineStr">
        <is>
          <t>Not run</t>
        </is>
      </c>
      <c r="G6" s="28" t="inlineStr">
        <is>
          <t>Unassigned</t>
        </is>
      </c>
      <c r="H6" s="28" t="inlineStr"/>
      <c r="I6" s="28" t="inlineStr">
        <is>
          <t>Original workbook claim, not independently qualified. See original row.</t>
        </is>
      </c>
      <c r="J6" s="28" t="inlineStr">
        <is>
          <t>Unseal without unsealer faults; exporting an Abstract GT across namespaces faults. Coverage: Exhaustive over namespace pairs</t>
        </is>
      </c>
      <c r="K6" s="28" t="inlineStr">
        <is>
          <t>Workbook: Threat Map row 10; docs/phase-1/W7-plus-plus-test-objectives.md</t>
        </is>
      </c>
      <c r="L6" s="28" t="inlineStr">
        <is>
          <t>2026-10-17</t>
        </is>
      </c>
      <c r="M6" s="28" t="n"/>
      <c r="N6" s="28" t="n"/>
    </row>
    <row r="7" ht="90" customHeight="1" s="14">
      <c r="A7" s="28" t="inlineStr">
        <is>
          <t>W7-06</t>
        </is>
      </c>
      <c r="B7" s="28" t="inlineStr">
        <is>
          <t>W7 security</t>
        </is>
      </c>
      <c r="C7" s="28" t="inlineStr">
        <is>
          <t>Quotas: one program exhausts memory</t>
        </is>
      </c>
      <c r="D7" s="28" t="inlineStr">
        <is>
          <t>Phase 1 assurance</t>
        </is>
      </c>
      <c r="E7" s="28" t="inlineStr">
        <is>
          <t>High</t>
        </is>
      </c>
      <c r="F7" s="28" t="inlineStr">
        <is>
          <t>Not run</t>
        </is>
      </c>
      <c r="G7" s="28" t="inlineStr">
        <is>
          <t>Unassigned</t>
        </is>
      </c>
      <c r="H7" s="28" t="inlineStr"/>
      <c r="I7" s="28" t="inlineStr">
        <is>
          <t>Original workbook claim, not independently qualified. See original row.</t>
        </is>
      </c>
      <c r="J7" s="28" t="inlineStr">
        <is>
          <t>Hostile namespace allocates unboundedly; neighbours see no failure and latency within stated bound. Coverage: Stress test across namespace counts</t>
        </is>
      </c>
      <c r="K7" s="28" t="inlineStr">
        <is>
          <t>Workbook: Threat Map row 11; docs/phase-1/W7-plus-plus-test-objectives.md</t>
        </is>
      </c>
      <c r="L7" s="28" t="inlineStr">
        <is>
          <t>2026-10-17</t>
        </is>
      </c>
      <c r="M7" s="28" t="n"/>
      <c r="N7" s="28" t="n"/>
    </row>
    <row r="8" ht="90" customHeight="1" s="14">
      <c r="A8" s="28" t="inlineStr">
        <is>
          <t>W7-07</t>
        </is>
      </c>
      <c r="B8" s="28" t="inlineStr">
        <is>
          <t>W7 security</t>
        </is>
      </c>
      <c r="C8" s="28" t="inlineStr">
        <is>
          <t>Persistence outside protection</t>
        </is>
      </c>
      <c r="D8" s="28" t="inlineStr">
        <is>
          <t>Phase 1 assurance</t>
        </is>
      </c>
      <c r="E8" s="28" t="inlineStr">
        <is>
          <t>High</t>
        </is>
      </c>
      <c r="F8" s="28" t="inlineStr">
        <is>
          <t>Not run</t>
        </is>
      </c>
      <c r="G8" s="28" t="inlineStr">
        <is>
          <t>Unassigned</t>
        </is>
      </c>
      <c r="H8" s="28" t="inlineStr"/>
      <c r="I8" s="28" t="inlineStr">
        <is>
          <t>Original workbook claim, not independently qualified. See original row.</t>
        </is>
      </c>
      <c r="J8" s="28" t="inlineStr">
        <is>
          <t>Evict, reload, compare authority: identical; no file-system path involved. Coverage: Round-trip every lump type</t>
        </is>
      </c>
      <c r="K8" s="28" t="inlineStr">
        <is>
          <t>Workbook: Threat Map row 12; docs/phase-1/W7-plus-plus-test-objectives.md</t>
        </is>
      </c>
      <c r="L8" s="28" t="inlineStr">
        <is>
          <t>2026-10-17</t>
        </is>
      </c>
      <c r="M8" s="28" t="n"/>
      <c r="N8" s="28" t="n"/>
    </row>
    <row r="9" ht="90" customHeight="1" s="14">
      <c r="A9" s="28" t="inlineStr">
        <is>
          <t>W7-08</t>
        </is>
      </c>
      <c r="B9" s="28" t="inlineStr">
        <is>
          <t>W7 security</t>
        </is>
      </c>
      <c r="C9" s="28" t="inlineStr">
        <is>
          <t>Preemption / termination; engine response depends on nesting depth</t>
        </is>
      </c>
      <c r="D9" s="28" t="inlineStr">
        <is>
          <t>Phase 1 assurance</t>
        </is>
      </c>
      <c r="E9" s="28" t="inlineStr">
        <is>
          <t>High</t>
        </is>
      </c>
      <c r="F9" s="28" t="inlineStr">
        <is>
          <t>Not run</t>
        </is>
      </c>
      <c r="G9" s="28" t="inlineStr">
        <is>
          <t>Unassigned</t>
        </is>
      </c>
      <c r="H9" s="28" t="inlineStr"/>
      <c r="I9" s="28" t="inlineStr">
        <is>
          <t>Original workbook claim, not independently qualified. See original row.</t>
        </is>
      </c>
      <c r="J9" s="28" t="inlineStr">
        <is>
          <t>Callee loops or nests deeply; caller regains control in bounded time independent of depth. Coverage: Sweep nesting depth; response time must be flat</t>
        </is>
      </c>
      <c r="K9" s="28" t="inlineStr">
        <is>
          <t>Workbook: Threat Map row 13; docs/phase-1/W7-plus-plus-test-objectives.md</t>
        </is>
      </c>
      <c r="L9" s="28" t="inlineStr">
        <is>
          <t>2026-10-17</t>
        </is>
      </c>
      <c r="M9" s="28" t="n"/>
      <c r="N9" s="28" t="n"/>
    </row>
    <row r="10" ht="90" customHeight="1" s="14">
      <c r="A10" s="28" t="inlineStr">
        <is>
          <t>W7-09</t>
        </is>
      </c>
      <c r="B10" s="28" t="inlineStr">
        <is>
          <t>W7 security</t>
        </is>
      </c>
      <c r="C10" s="28" t="inlineStr">
        <is>
          <t>Continuations invoked multiple times</t>
        </is>
      </c>
      <c r="D10" s="28" t="inlineStr">
        <is>
          <t>Phase 1 assurance</t>
        </is>
      </c>
      <c r="E10" s="28" t="inlineStr">
        <is>
          <t>High</t>
        </is>
      </c>
      <c r="F10" s="28" t="inlineStr">
        <is>
          <t>Not run</t>
        </is>
      </c>
      <c r="G10" s="28" t="inlineStr">
        <is>
          <t>Unassigned</t>
        </is>
      </c>
      <c r="H10" s="28" t="inlineStr"/>
      <c r="I10" s="28" t="inlineStr">
        <is>
          <t>Original workbook claim, not independently qualified. See original row.</t>
        </is>
      </c>
      <c r="J10" s="28" t="inlineStr">
        <is>
          <t>Callee retains its return path and invokes it twice; second call faults. Coverage: All return paths</t>
        </is>
      </c>
      <c r="K10" s="28" t="inlineStr">
        <is>
          <t>Workbook: Threat Map row 14; docs/phase-1/W7-plus-plus-test-objectives.md</t>
        </is>
      </c>
      <c r="L10" s="28" t="inlineStr">
        <is>
          <t>2026-10-17</t>
        </is>
      </c>
      <c r="M10" s="28" t="n"/>
      <c r="N10" s="28" t="n"/>
    </row>
    <row r="11" ht="90" customHeight="1" s="14">
      <c r="A11" s="28" t="inlineStr">
        <is>
          <t>W7-10</t>
        </is>
      </c>
      <c r="B11" s="28" t="inlineStr">
        <is>
          <t>W7 security</t>
        </is>
      </c>
      <c r="C11" s="28" t="inlineStr">
        <is>
          <t>Concurrency: shared cells</t>
        </is>
      </c>
      <c r="D11" s="28" t="inlineStr">
        <is>
          <t>Phase 1 assurance</t>
        </is>
      </c>
      <c r="E11" s="28" t="inlineStr">
        <is>
          <t>High</t>
        </is>
      </c>
      <c r="F11" s="28" t="inlineStr">
        <is>
          <t>Not run</t>
        </is>
      </c>
      <c r="G11" s="28" t="inlineStr">
        <is>
          <t>Unassigned</t>
        </is>
      </c>
      <c r="H11" s="28" t="inlineStr"/>
      <c r="I11" s="28" t="inlineStr">
        <is>
          <t>Original workbook claim, not independently qualified. See original row.</t>
        </is>
      </c>
      <c r="J11" s="28" t="inlineStr">
        <is>
          <t>Racing writers to a shared lump: serialized or faulted. Coverage: Randomised interleavings</t>
        </is>
      </c>
      <c r="K11" s="28" t="inlineStr">
        <is>
          <t>Workbook: Threat Map row 15; docs/phase-1/W7-plus-plus-test-objectives.md</t>
        </is>
      </c>
      <c r="L11" s="28" t="inlineStr">
        <is>
          <t>2026-10-17</t>
        </is>
      </c>
      <c r="M11" s="28" t="n"/>
      <c r="N11" s="28" t="n"/>
    </row>
    <row r="12" ht="90" customHeight="1" s="14">
      <c r="A12" s="28" t="inlineStr">
        <is>
          <t>W7-11</t>
        </is>
      </c>
      <c r="B12" s="28" t="inlineStr">
        <is>
          <t>W7 security</t>
        </is>
      </c>
      <c r="C12" s="28" t="inlineStr">
        <is>
          <t>Accountability: who acts for whom</t>
        </is>
      </c>
      <c r="D12" s="28" t="inlineStr">
        <is>
          <t>Phase 1 assurance</t>
        </is>
      </c>
      <c r="E12" s="28" t="inlineStr">
        <is>
          <t>High</t>
        </is>
      </c>
      <c r="F12" s="28" t="inlineStr">
        <is>
          <t>Not run</t>
        </is>
      </c>
      <c r="G12" s="28" t="inlineStr">
        <is>
          <t>Unassigned</t>
        </is>
      </c>
      <c r="H12" s="28" t="inlineStr"/>
      <c r="I12" s="28" t="inlineStr">
        <is>
          <t>Original workbook claim, not independently qualified. See original row.</t>
        </is>
      </c>
      <c r="J12" s="28" t="inlineStr">
        <is>
          <t>Every invocation attributable to originating womb. Coverage: Trace every call chain in test suite</t>
        </is>
      </c>
      <c r="K12" s="28" t="inlineStr">
        <is>
          <t>Workbook: Threat Map row 16; docs/phase-1/W7-plus-plus-test-objectives.md</t>
        </is>
      </c>
      <c r="L12" s="28" t="inlineStr">
        <is>
          <t>2026-10-17</t>
        </is>
      </c>
      <c r="M12" s="28" t="n"/>
      <c r="N12" s="28" t="n"/>
    </row>
    <row r="13" ht="90" customHeight="1" s="14">
      <c r="A13" s="28" t="inlineStr">
        <is>
          <t>W7-12</t>
        </is>
      </c>
      <c r="B13" s="28" t="inlineStr">
        <is>
          <t>W7 security</t>
        </is>
      </c>
      <c r="C13" s="28" t="inlineStr">
        <is>
          <t>Schroeder problem: callee remembers/leaks inputs</t>
        </is>
      </c>
      <c r="D13" s="28" t="inlineStr">
        <is>
          <t>Phase 1 assurance</t>
        </is>
      </c>
      <c r="E13" s="28" t="inlineStr">
        <is>
          <t>High</t>
        </is>
      </c>
      <c r="F13" s="28" t="inlineStr">
        <is>
          <t>Not run</t>
        </is>
      </c>
      <c r="G13" s="28" t="inlineStr">
        <is>
          <t>Unassigned</t>
        </is>
      </c>
      <c r="H13" s="28" t="inlineStr"/>
      <c r="I13" s="28" t="inlineStr">
        <is>
          <t>Original workbook claim, not independently qualified. See original row.</t>
        </is>
      </c>
      <c r="J13" s="28" t="inlineStr">
        <is>
          <t>Reachability: callee holds no outward write authority at entry. Coverage: Closure over callee c-list</t>
        </is>
      </c>
      <c r="K13" s="28" t="inlineStr">
        <is>
          <t>Workbook: Threat Map row 17; docs/phase-1/W7-plus-plus-test-objectives.md</t>
        </is>
      </c>
      <c r="L13" s="28" t="inlineStr">
        <is>
          <t>2026-10-17</t>
        </is>
      </c>
      <c r="M13" s="28" t="n"/>
      <c r="N13" s="28" t="n"/>
    </row>
    <row r="14" ht="90" customHeight="1" s="14">
      <c r="A14" s="28" t="inlineStr">
        <is>
          <t>W7-13</t>
        </is>
      </c>
      <c r="B14" s="28" t="inlineStr">
        <is>
          <t>W7 security</t>
        </is>
      </c>
      <c r="C14" s="28" t="inlineStr">
        <is>
          <t>Undecidability of 'might divulge input'</t>
        </is>
      </c>
      <c r="D14" s="28" t="inlineStr">
        <is>
          <t>Phase 1 assurance</t>
        </is>
      </c>
      <c r="E14" s="28" t="inlineStr">
        <is>
          <t>High</t>
        </is>
      </c>
      <c r="F14" s="28" t="inlineStr">
        <is>
          <t>Not run</t>
        </is>
      </c>
      <c r="G14" s="28" t="inlineStr">
        <is>
          <t>Unassigned</t>
        </is>
      </c>
      <c r="H14" s="28" t="inlineStr"/>
      <c r="I14" s="28" t="inlineStr">
        <is>
          <t>Original workbook claim, not independently qualified. See original row.</t>
        </is>
      </c>
      <c r="J14" s="28" t="inlineStr">
        <is>
          <t>— Coverage: —</t>
        </is>
      </c>
      <c r="K14" s="28" t="inlineStr">
        <is>
          <t>Workbook: Threat Map row 18; docs/phase-1/W7-plus-plus-test-objectives.md</t>
        </is>
      </c>
      <c r="L14" s="28" t="inlineStr">
        <is>
          <t>2026-10-17</t>
        </is>
      </c>
      <c r="M14" s="28" t="n"/>
      <c r="N14" s="28" t="n"/>
    </row>
    <row r="15" ht="90" customHeight="1" s="14">
      <c r="A15" s="28" t="inlineStr">
        <is>
          <t>W7-14</t>
        </is>
      </c>
      <c r="B15" s="28" t="inlineStr">
        <is>
          <t>W7 security</t>
        </is>
      </c>
      <c r="C15" s="28" t="inlineStr">
        <is>
          <t>Trust in administrator / manufacturing chain</t>
        </is>
      </c>
      <c r="D15" s="28" t="inlineStr">
        <is>
          <t>Phase 1 assurance</t>
        </is>
      </c>
      <c r="E15" s="28" t="inlineStr">
        <is>
          <t>High</t>
        </is>
      </c>
      <c r="F15" s="28" t="inlineStr">
        <is>
          <t>Not run</t>
        </is>
      </c>
      <c r="G15" s="28" t="inlineStr">
        <is>
          <t>Unassigned</t>
        </is>
      </c>
      <c r="H15" s="28" t="inlineStr"/>
      <c r="I15" s="28" t="inlineStr">
        <is>
          <t>Original workbook claim, not independently qualified. See original row.</t>
        </is>
      </c>
      <c r="J15" s="28" t="inlineStr">
        <is>
          <t>— Coverage: Reproducible bitstreams narrow, do not close</t>
        </is>
      </c>
      <c r="K15" s="28" t="inlineStr">
        <is>
          <t>Workbook: Threat Map row 19; docs/phase-1/W7-plus-plus-test-objectives.md</t>
        </is>
      </c>
      <c r="L15" s="28" t="inlineStr">
        <is>
          <t>2026-10-17</t>
        </is>
      </c>
      <c r="M15" s="28" t="n"/>
      <c r="N15" s="28" t="n"/>
    </row>
    <row r="16" ht="90" customHeight="1" s="14">
      <c r="A16" s="28" t="inlineStr">
        <is>
          <t>W7-15</t>
        </is>
      </c>
      <c r="B16" s="28" t="inlineStr">
        <is>
          <t>W7 security</t>
        </is>
      </c>
      <c r="C16" s="28" t="inlineStr">
        <is>
          <t>Distribution / remote invocation</t>
        </is>
      </c>
      <c r="D16" s="28" t="inlineStr">
        <is>
          <t>Phase 2</t>
        </is>
      </c>
      <c r="E16" s="28" t="inlineStr">
        <is>
          <t>High</t>
        </is>
      </c>
      <c r="F16" s="28" t="inlineStr">
        <is>
          <t>Out of scope</t>
        </is>
      </c>
      <c r="G16" s="28" t="inlineStr">
        <is>
          <t>Unassigned</t>
        </is>
      </c>
      <c r="H16" s="28" t="inlineStr"/>
      <c r="I16" s="28" t="inlineStr">
        <is>
          <t>Original workbook claim, not independently qualified. See original row.</t>
        </is>
      </c>
      <c r="J16" s="28" t="inlineStr">
        <is>
          <t>— Coverage: —</t>
        </is>
      </c>
      <c r="K16" s="28" t="inlineStr">
        <is>
          <t>Workbook: Threat Map row 20; docs/phase-1/W7-plus-plus-test-objectives.md</t>
        </is>
      </c>
      <c r="L16" s="28" t="inlineStr">
        <is>
          <t>2026-10-17</t>
        </is>
      </c>
      <c r="M16" s="28" t="n"/>
      <c r="N16" s="28" t="n"/>
    </row>
    <row r="17" ht="90" customHeight="1" s="14">
      <c r="A17" s="28" t="inlineStr">
        <is>
          <t>H01</t>
        </is>
      </c>
      <c r="B17" s="28" t="inlineStr">
        <is>
          <t>Hardware acceptance</t>
        </is>
      </c>
      <c r="C17" s="28" t="inlineStr">
        <is>
          <t>Every ordinary opcode, all register positions, DR0 and aliased inputs; ALU 0, ±1, signed extrema, carry/borrow; shifts 0/1/31.</t>
        </is>
      </c>
      <c r="D17" s="28" t="inlineStr">
        <is>
          <t>Phase 1 hardware</t>
        </is>
      </c>
      <c r="E17" s="28" t="inlineStr">
        <is>
          <t>High</t>
        </is>
      </c>
      <c r="F17" s="28" t="inlineStr">
        <is>
          <t>Not run</t>
        </is>
      </c>
      <c r="G17" s="28" t="inlineStr">
        <is>
          <t>Unassigned</t>
        </is>
      </c>
      <c r="H17" s="28" t="inlineStr">
        <is>
          <t>See source gate dependencies</t>
        </is>
      </c>
      <c r="I17" s="28" t="inlineStr">
        <is>
          <t>Defined objective; full acceptance not established by this tracker.</t>
        </is>
      </c>
      <c r="J17" s="28" t="inlineStr">
        <is>
          <t>Exact result, NZCV and preserved state against the core reference; close its oracle gaps before declaring full coverage.</t>
        </is>
      </c>
      <c r="K17" s="28" t="inlineStr">
        <is>
          <t>docs/phase-1/04-release/isa-to-fpga-alignment-plan.md</t>
        </is>
      </c>
      <c r="L17" s="28" t="inlineStr">
        <is>
          <t>2026-10-17</t>
        </is>
      </c>
      <c r="M17" s="28" t="n"/>
      <c r="N17" s="28" t="n"/>
    </row>
    <row r="18" ht="90" customHeight="1" s="14">
      <c r="A18" s="28" t="inlineStr">
        <is>
          <t>H02</t>
        </is>
      </c>
      <c r="B18" s="28" t="inlineStr">
        <is>
          <t>Hardware acceptance</t>
        </is>
      </c>
      <c r="C18" s="28" t="inlineStr">
        <is>
          <t>All 16 NZCV combinations × every defined condition; false-condition invalid operands, CR13, NULL/EXACT and malformed encodings.</t>
        </is>
      </c>
      <c r="D18" s="28" t="inlineStr">
        <is>
          <t>Phase 1 hardware</t>
        </is>
      </c>
      <c r="E18" s="28" t="inlineStr">
        <is>
          <t>High</t>
        </is>
      </c>
      <c r="F18" s="28" t="inlineStr">
        <is>
          <t>Not run</t>
        </is>
      </c>
      <c r="G18" s="28" t="inlineStr">
        <is>
          <t>Unassigned</t>
        </is>
      </c>
      <c r="H18" s="28" t="inlineStr">
        <is>
          <t>See source gate dependencies</t>
        </is>
      </c>
      <c r="I18" s="28" t="inlineStr">
        <is>
          <t>Defined objective; full acceptance not established by this tracker.</t>
        </is>
      </c>
      <c r="J18" s="28" t="inlineStr">
        <is>
          <t>Skip has no operand effect/fault; only next fetch and independent watchdog behavior remain. Reserved NV is not silently assumed.</t>
        </is>
      </c>
      <c r="K18" s="28" t="inlineStr">
        <is>
          <t>docs/phase-1/04-release/isa-to-fpga-alignment-plan.md</t>
        </is>
      </c>
      <c r="L18" s="28" t="inlineStr">
        <is>
          <t>2026-10-17</t>
        </is>
      </c>
      <c r="M18" s="28" t="n"/>
      <c r="N18" s="28" t="n"/>
    </row>
    <row r="19" ht="90" customHeight="1" s="14">
      <c r="A19" s="28" t="inlineStr">
        <is>
          <t>H03</t>
        </is>
      </c>
      <c r="B19" s="28" t="inlineStr">
        <is>
          <t>Hardware acceptance</t>
        </is>
      </c>
      <c r="C19" s="28" t="inlineStr">
        <is>
          <t>Each approved CALL form; both signs; row magnitudes 0/31, method 0/127 or 0/2047; LOAD/SAVE/DREAD/DWRITE ±1023, BRANCH ±262143.</t>
        </is>
      </c>
      <c r="D19" s="28" t="inlineStr">
        <is>
          <t>Phase 1 hardware</t>
        </is>
      </c>
      <c r="E19" s="28" t="inlineStr">
        <is>
          <t>High</t>
        </is>
      </c>
      <c r="F19" s="28" t="inlineStr">
        <is>
          <t>Not run</t>
        </is>
      </c>
      <c r="G19" s="28" t="inlineStr">
        <is>
          <t>Unassigned</t>
        </is>
      </c>
      <c r="H19" s="28" t="inlineStr">
        <is>
          <t>See source gate dependencies</t>
        </is>
      </c>
      <c r="I19" s="28" t="inlineStr">
        <is>
          <t>Defined objective; full acceptance not established by this tracker.</t>
        </is>
      </c>
      <c r="J19" s="28" t="inlineStr">
        <is>
          <t>Hand-checked packed word and latched operands; correct byte/word conversion; no wrap/truncation. Zero, last-valid and first-invalid effective indices.</t>
        </is>
      </c>
      <c r="K19" s="28" t="inlineStr">
        <is>
          <t>docs/phase-1/04-release/isa-to-fpga-alignment-plan.md</t>
        </is>
      </c>
      <c r="L19" s="28" t="inlineStr">
        <is>
          <t>2026-10-17</t>
        </is>
      </c>
      <c r="M19" s="28" t="n"/>
      <c r="N19" s="28" t="n"/>
    </row>
    <row r="20" ht="90" customHeight="1" s="14">
      <c r="A20" s="28" t="inlineStr">
        <is>
          <t>H04</t>
        </is>
      </c>
      <c r="B20" s="28" t="inlineStr">
        <is>
          <t>Hardware acceptance</t>
        </is>
      </c>
      <c r="C20" s="28" t="inlineStr">
        <is>
          <t>BFEXT/BFINS width 1/31 and invalid 0; positions 0/31, crossing bit 31, DR underflow/overflow, shared source/destination.</t>
        </is>
      </c>
      <c r="D20" s="28" t="inlineStr">
        <is>
          <t>Phase 1 hardware</t>
        </is>
      </c>
      <c r="E20" s="28" t="inlineStr">
        <is>
          <t>High</t>
        </is>
      </c>
      <c r="F20" s="28" t="inlineStr">
        <is>
          <t>Not run</t>
        </is>
      </c>
      <c r="G20" s="28" t="inlineStr">
        <is>
          <t>Unassigned</t>
        </is>
      </c>
      <c r="H20" s="28" t="inlineStr">
        <is>
          <t>See source gate dependencies</t>
        </is>
      </c>
      <c r="I20" s="28" t="inlineStr">
        <is>
          <t>Defined objective; full acceptance not established by this tracker.</t>
        </is>
      </c>
      <c r="J20" s="28" t="inlineStr">
        <is>
          <t>Exact result and flags or fault before destination mutation; preserve unaffected insertion bits.</t>
        </is>
      </c>
      <c r="K20" s="28" t="inlineStr">
        <is>
          <t>docs/phase-1/04-release/isa-to-fpga-alignment-plan.md</t>
        </is>
      </c>
      <c r="L20" s="28" t="inlineStr">
        <is>
          <t>2026-10-17</t>
        </is>
      </c>
      <c r="M20" s="28" t="n"/>
      <c r="N20" s="28" t="n"/>
    </row>
    <row r="21" ht="90" customHeight="1" s="14">
      <c r="A21" s="28" t="inlineStr">
        <is>
          <t>H05</t>
        </is>
      </c>
      <c r="B21" s="28" t="inlineStr">
        <is>
          <t>Hardware acceptance</t>
        </is>
      </c>
      <c r="C21" s="28" t="inlineStr">
        <is>
          <t>Direct/indexed CALL methods 0, first/last public, private zero and outside table/code; nested calls, RETURN mask 0/all/each bit, root/empty/corrupt continuation; LAMBDA.</t>
        </is>
      </c>
      <c r="D21" s="28" t="inlineStr">
        <is>
          <t>Phase 1 hardware</t>
        </is>
      </c>
      <c r="E21" s="28" t="inlineStr">
        <is>
          <t>High</t>
        </is>
      </c>
      <c r="F21" s="28" t="inlineStr">
        <is>
          <t>Not run</t>
        </is>
      </c>
      <c r="G21" s="28" t="inlineStr">
        <is>
          <t>Unassigned</t>
        </is>
      </c>
      <c r="H21" s="28" t="inlineStr">
        <is>
          <t>See source gate dependencies</t>
        </is>
      </c>
      <c r="I21" s="28" t="inlineStr">
        <is>
          <t>Defined objective; full acceptance not established by this tracker.</t>
        </is>
      </c>
      <c r="J21" s="28" t="inlineStr">
        <is>
          <t>Correct E authority, c-list/code reconstruction, continuation and mask; no hidden snapshot or unchecked fast return.</t>
        </is>
      </c>
      <c r="K21" s="28" t="inlineStr">
        <is>
          <t>docs/phase-1/04-release/isa-to-fpga-alignment-plan.md</t>
        </is>
      </c>
      <c r="L21" s="28" t="inlineStr">
        <is>
          <t>2026-10-17</t>
        </is>
      </c>
      <c r="M21" s="28" t="inlineStr">
        <is>
          <t>BASE-05: docs/reviews/phase1-baseline/README.md</t>
        </is>
      </c>
      <c r="N21" s="28" t="n"/>
    </row>
    <row r="22" ht="90" customHeight="1" s="14">
      <c r="A22" s="28" t="inlineStr">
        <is>
          <t>H06</t>
        </is>
      </c>
      <c r="B22" s="28" t="inlineStr">
        <is>
          <t>Hardware acceptance</t>
        </is>
      </c>
      <c r="C22" s="28" t="inlineStr">
        <is>
          <t>GT classes, permissions, domains, bounds, stale generation; mutate each integrity-covered bit and F/G separately; denied/allowed MMIO.</t>
        </is>
      </c>
      <c r="D22" s="28" t="inlineStr">
        <is>
          <t>Phase 1 hardware</t>
        </is>
      </c>
      <c r="E22" s="28" t="inlineStr">
        <is>
          <t>High</t>
        </is>
      </c>
      <c r="F22" s="28" t="inlineStr">
        <is>
          <t>Not run</t>
        </is>
      </c>
      <c r="G22" s="28" t="inlineStr">
        <is>
          <t>Unassigned</t>
        </is>
      </c>
      <c r="H22" s="28" t="inlineStr">
        <is>
          <t>See source gate dependencies</t>
        </is>
      </c>
      <c r="I22" s="28" t="inlineStr">
        <is>
          <t>Defined objective; full acceptance not established by this tracker.</t>
        </is>
      </c>
      <c r="J22" s="28" t="inlineStr">
        <is>
          <t>Required access fails before unauthorized effects; full 9-bit equality, unchanged versions and exact integrity formula. No inferred permission from slot membership.</t>
        </is>
      </c>
      <c r="K22" s="28" t="inlineStr">
        <is>
          <t>docs/phase-1/04-release/isa-to-fpga-alignment-plan.md</t>
        </is>
      </c>
      <c r="L22" s="28" t="inlineStr">
        <is>
          <t>2026-10-17</t>
        </is>
      </c>
      <c r="M22" s="28" t="n"/>
      <c r="N22" s="28" t="n"/>
    </row>
    <row r="23" ht="90" customHeight="1" s="14">
      <c r="A23" s="28" t="inlineStr">
        <is>
          <t>H07</t>
        </is>
      </c>
      <c r="B23" s="28" t="inlineStr">
        <is>
          <t>Hardware acceptance</t>
        </is>
      </c>
      <c r="C23" s="28" t="inlineStr">
        <is>
          <t>NULL literal/nonzero/B variants; EXACT equal/unequal non-NULL, one/both NULL; raw NULL modifier 31; condition skips.</t>
        </is>
      </c>
      <c r="D23" s="28" t="inlineStr">
        <is>
          <t>Phase 1 hardware</t>
        </is>
      </c>
      <c r="E23" s="28" t="inlineStr">
        <is>
          <t>High</t>
        </is>
      </c>
      <c r="F23" s="28" t="inlineStr">
        <is>
          <t>Not run</t>
        </is>
      </c>
      <c r="G23" s="28" t="inlineStr">
        <is>
          <t>Unassigned</t>
        </is>
      </c>
      <c r="H23" s="28" t="inlineStr">
        <is>
          <t>See source gate dependencies</t>
        </is>
      </c>
      <c r="I23" s="28" t="inlineStr">
        <is>
          <t>Defined objective; full acceptance not established by this tracker.</t>
        </is>
      </c>
      <c r="J23" s="28" t="inlineStr">
        <is>
          <t>Exact approved NZCV or pre-mutation fault at the TPERM instruction. Equality never proves validity.</t>
        </is>
      </c>
      <c r="K23" s="28" t="inlineStr">
        <is>
          <t>docs/phase-1/04-release/isa-to-fpga-alignment-plan.md</t>
        </is>
      </c>
      <c r="L23" s="28" t="inlineStr">
        <is>
          <t>2026-10-17</t>
        </is>
      </c>
      <c r="M23" s="28" t="n"/>
      <c r="N23" s="28" t="n"/>
    </row>
    <row r="24" ht="90" customHeight="1" s="14">
      <c r="A24" s="28" t="inlineStr">
        <is>
          <t>H08</t>
        </is>
      </c>
      <c r="B24" s="28" t="inlineStr">
        <is>
          <t>Hardware acceptance</t>
        </is>
      </c>
      <c r="C24" s="28" t="inlineStr">
        <is>
          <t>Valid, malformed and suspended/root Thread contexts; permission-bearing operand GT; unused invalid c-list row then use it.</t>
        </is>
      </c>
      <c r="D24" s="28" t="inlineStr">
        <is>
          <t>Phase 1 hardware</t>
        </is>
      </c>
      <c r="E24" s="28" t="inlineStr">
        <is>
          <t>High</t>
        </is>
      </c>
      <c r="F24" s="28" t="inlineStr">
        <is>
          <t>Not run</t>
        </is>
      </c>
      <c r="G24" s="28" t="inlineStr">
        <is>
          <t>Unassigned</t>
        </is>
      </c>
      <c r="H24" s="28" t="inlineStr">
        <is>
          <t>See source gate dependencies</t>
        </is>
      </c>
      <c r="I24" s="28" t="inlineStr">
        <is>
          <t>Defined objective; full acceptance not established by this tracker.</t>
        </is>
      </c>
      <c r="J24" s="28" t="inlineStr">
        <is>
          <t>Context failures 0x1D, separate operand permission failure 0x1E; no eager entire-c-list scan; each restored CR GT passes mLoad.</t>
        </is>
      </c>
      <c r="K24" s="28" t="inlineStr">
        <is>
          <t>docs/phase-1/04-release/isa-to-fpga-alignment-plan.md</t>
        </is>
      </c>
      <c r="L24" s="28" t="inlineStr">
        <is>
          <t>2026-10-17</t>
        </is>
      </c>
      <c r="M24" s="28" t="n"/>
      <c r="N24" s="28" t="n"/>
    </row>
    <row r="25" ht="90" customHeight="1" s="14">
      <c r="A25" s="28" t="inlineStr">
        <is>
          <t>H09</t>
        </is>
      </c>
      <c r="B25" s="28" t="inlineStr">
        <is>
          <t>Hardware acceptance</t>
        </is>
      </c>
      <c r="C25" s="28" t="inlineStr">
        <is>
          <t>CHANGE self/helper/other; SWITCH both legal spellings, both signs, CR15.M absent; invalid Namespace/entry; CR13 operands.</t>
        </is>
      </c>
      <c r="D25" s="28" t="inlineStr">
        <is>
          <t>Phase 1 hardware</t>
        </is>
      </c>
      <c r="E25" s="28" t="inlineStr">
        <is>
          <t>High</t>
        </is>
      </c>
      <c r="F25" s="28" t="inlineStr">
        <is>
          <t>Not run</t>
        </is>
      </c>
      <c r="G25" s="28" t="inlineStr">
        <is>
          <t>Unassigned</t>
        </is>
      </c>
      <c r="H25" s="28" t="inlineStr">
        <is>
          <t>See source gate dependencies</t>
        </is>
      </c>
      <c r="I25" s="28" t="inlineStr">
        <is>
          <t>Defined objective; full acceptance not established by this tracker.</t>
        </is>
      </c>
      <c r="J25" s="28" t="inlineStr">
        <is>
          <t>Save/load order, unchanged ordinary CR15, shared SWITCH authority, fixed slot-2 entry, no CR13 writes; no target execution on failure.</t>
        </is>
      </c>
      <c r="K25" s="28" t="inlineStr">
        <is>
          <t>docs/phase-1/04-release/isa-to-fpga-alignment-plan.md</t>
        </is>
      </c>
      <c r="L25" s="28" t="inlineStr">
        <is>
          <t>2026-10-17</t>
        </is>
      </c>
      <c r="M25" s="28" t="inlineStr">
        <is>
          <t>BASE-05: docs/reviews/phase1-baseline/README.md</t>
        </is>
      </c>
      <c r="N25" s="28" t="n"/>
    </row>
    <row r="26" ht="90" customHeight="1" s="14">
      <c r="A26" s="28" t="inlineStr">
        <is>
          <t>H10</t>
        </is>
      </c>
      <c r="B26" s="28" t="inlineStr">
        <is>
          <t>Hardware acceptance</t>
        </is>
      </c>
      <c r="C26" s="28" t="inlineStr">
        <is>
          <t>Cold configuration, warm reset, authorized marker, same word at wrong PC/from RAM, replay after acceptance/fault, malformed final CALL CR0.</t>
        </is>
      </c>
      <c r="D26" s="28" t="inlineStr">
        <is>
          <t>Phase 1 hardware</t>
        </is>
      </c>
      <c r="E26" s="28" t="inlineStr">
        <is>
          <t>High</t>
        </is>
      </c>
      <c r="F26" s="28" t="inlineStr">
        <is>
          <t>Not run</t>
        </is>
      </c>
      <c r="G26" s="28" t="inlineStr">
        <is>
          <t>Unassigned</t>
        </is>
      </c>
      <c r="H26" s="28" t="inlineStr">
        <is>
          <t>See source gate dependencies</t>
        </is>
      </c>
      <c r="I26" s="28" t="inlineStr">
        <is>
          <t>Defined objective; full acceptance not established by this tracker.</t>
        </is>
      </c>
      <c r="J26" s="28" t="inlineStr">
        <is>
          <t>One-shot 0x27000001 only at immutable ROM site; no extra CR12.M; ROM fetch authority ends only on successful final CALL.</t>
        </is>
      </c>
      <c r="K26" s="28" t="inlineStr">
        <is>
          <t>docs/phase-1/04-release/isa-to-fpga-alignment-plan.md</t>
        </is>
      </c>
      <c r="L26" s="28" t="inlineStr">
        <is>
          <t>2026-10-17</t>
        </is>
      </c>
      <c r="M26" s="28" t="inlineStr">
        <is>
          <t>BASE-04: docs/reviews/phase1-baseline/README.md</t>
        </is>
      </c>
      <c r="N26" s="28" t="n"/>
    </row>
    <row r="27" ht="90" customHeight="1" s="14">
      <c r="A27" s="28" t="inlineStr">
        <is>
          <t>H11</t>
        </is>
      </c>
      <c r="B27" s="28" t="inlineStr">
        <is>
          <t>Hardware acceptance</t>
        </is>
      </c>
      <c r="C27" s="28" t="inlineStr">
        <is>
          <t>Boot pair match, slot-1 mismatch, slot-2 mismatch after CR15 load, pair equal to itself but not bitstream; ordinary versus guarded handoff.</t>
        </is>
      </c>
      <c r="D27" s="28" t="inlineStr">
        <is>
          <t>Phase 1 hardware</t>
        </is>
      </c>
      <c r="E27" s="28" t="inlineStr">
        <is>
          <t>High</t>
        </is>
      </c>
      <c r="F27" s="28" t="inlineStr">
        <is>
          <t>Not run</t>
        </is>
      </c>
      <c r="G27" s="28" t="inlineStr">
        <is>
          <t>Unassigned</t>
        </is>
      </c>
      <c r="H27" s="28" t="inlineStr">
        <is>
          <t>See source gate dependencies</t>
        </is>
      </c>
      <c r="I27" s="28" t="inlineStr">
        <is>
          <t>Defined objective; full acceptance not established by this tracker.</t>
        </is>
      </c>
      <c r="J27" s="28" t="inlineStr">
        <is>
          <t>VERSION with correct slot; no target activation, retry or rollback; ordinary entry version 0 versus guarded expected version.</t>
        </is>
      </c>
      <c r="K27" s="28" t="inlineStr">
        <is>
          <t>docs/phase-1/04-release/isa-to-fpga-alignment-plan.md</t>
        </is>
      </c>
      <c r="L27" s="28" t="inlineStr">
        <is>
          <t>2026-10-17</t>
        </is>
      </c>
      <c r="M27" s="28" t="inlineStr">
        <is>
          <t>BASE-04: docs/reviews/phase1-baseline/README.md</t>
        </is>
      </c>
      <c r="N27" s="28" t="n"/>
    </row>
    <row r="28" ht="90" customHeight="1" s="14">
      <c r="A28" s="28" t="inlineStr">
        <is>
          <t>H12</t>
        </is>
      </c>
      <c r="B28" s="28" t="inlineStr">
        <is>
          <t>Hardware acceptance</t>
        </is>
      </c>
      <c r="C28" s="28" t="inlineStr">
        <is>
          <t>Default and configured Namespace capacity, first/last/outside slot and word, all fixed service slots, maximum intended allocation.</t>
        </is>
      </c>
      <c r="D28" s="28" t="inlineStr">
        <is>
          <t>Phase 1 hardware</t>
        </is>
      </c>
      <c r="E28" s="28" t="inlineStr">
        <is>
          <t>High</t>
        </is>
      </c>
      <c r="F28" s="28" t="inlineStr">
        <is>
          <t>Not run</t>
        </is>
      </c>
      <c r="G28" s="28" t="inlineStr">
        <is>
          <t>Unassigned</t>
        </is>
      </c>
      <c r="H28" s="28" t="inlineStr">
        <is>
          <t>See source gate dependencies</t>
        </is>
      </c>
      <c r="I28" s="28" t="inlineStr">
        <is>
          <t>Defined objective; full acceptance not established by this tracker.</t>
        </is>
      </c>
      <c r="J28" s="28" t="inlineStr">
        <is>
          <t>Ascending four-word entries; 256-slot default/limit 1023; slots 0/1/2/8/9/14/15; whole Phase 1 footprint fits half actual FPGA memory.</t>
        </is>
      </c>
      <c r="K28" s="28" t="inlineStr">
        <is>
          <t>docs/phase-1/04-release/isa-to-fpga-alignment-plan.md</t>
        </is>
      </c>
      <c r="L28" s="28" t="inlineStr">
        <is>
          <t>2026-10-17</t>
        </is>
      </c>
      <c r="M28" s="28" t="inlineStr">
        <is>
          <t>BASE-04: docs/reviews/phase1-baseline/README.md</t>
        </is>
      </c>
      <c r="N28" s="28" t="n"/>
    </row>
    <row r="29" ht="90" customHeight="1" s="14">
      <c r="A29" s="28" t="inlineStr">
        <is>
          <t>H13</t>
        </is>
      </c>
      <c r="B29" s="28" t="inlineStr">
        <is>
          <t>Hardware acceptance</t>
        </is>
      </c>
      <c r="C29" s="28" t="inlineStr">
        <is>
          <t>All eight valid watchdog controls; power-on then warm reset with exemption on/off; each selector change while running.</t>
        </is>
      </c>
      <c r="D29" s="28" t="inlineStr">
        <is>
          <t>Phase 1 hardware</t>
        </is>
      </c>
      <c r="E29" s="28" t="inlineStr">
        <is>
          <t>High</t>
        </is>
      </c>
      <c r="F29" s="28" t="inlineStr">
        <is>
          <t>Not run</t>
        </is>
      </c>
      <c r="G29" s="28" t="inlineStr">
        <is>
          <t>Unassigned</t>
        </is>
      </c>
      <c r="H29" s="28" t="inlineStr">
        <is>
          <t>See source gate dependencies</t>
        </is>
      </c>
      <c r="I29" s="28" t="inlineStr">
        <is>
          <t>Defined objective; full acceptance not established by this tracker.</t>
        </is>
      </c>
      <c r="J29" s="28" t="inlineStr">
        <is>
          <t>Initial 0x5; controls retained across reset, elapsed count not retained; selector alone never extends current interval; readback is programmed selection.</t>
        </is>
      </c>
      <c r="K29" s="28" t="inlineStr">
        <is>
          <t>docs/phase-1/04-release/isa-to-fpga-alignment-plan.md</t>
        </is>
      </c>
      <c r="L29" s="28" t="inlineStr">
        <is>
          <t>2026-10-17</t>
        </is>
      </c>
      <c r="M29" s="28" t="n"/>
      <c r="N29" s="28" t="n"/>
    </row>
    <row r="30" ht="90" customHeight="1" s="14">
      <c r="A30" s="28" t="inlineStr">
        <is>
          <t>H14</t>
        </is>
      </c>
      <c r="B30" s="28" t="inlineStr">
        <is>
          <t>Hardware acceptance</t>
        </is>
      </c>
      <c r="C30" s="28" t="inlineStr">
        <is>
          <t>Every duration; instruction retirement, CALL/RETURN loops, stalls, self/helper CHANGE and SWITCH; completion before/at/after deadline.</t>
        </is>
      </c>
      <c r="D30" s="28" t="inlineStr">
        <is>
          <t>Phase 1 hardware</t>
        </is>
      </c>
      <c r="E30" s="28" t="inlineStr">
        <is>
          <t>High</t>
        </is>
      </c>
      <c r="F30" s="28" t="inlineStr">
        <is>
          <t>Not run</t>
        </is>
      </c>
      <c r="G30" s="28" t="inlineStr">
        <is>
          <t>Unassigned</t>
        </is>
      </c>
      <c r="H30" s="28" t="inlineStr">
        <is>
          <t>See source gate dependencies</t>
        </is>
      </c>
      <c r="I30" s="28" t="inlineStr">
        <is>
          <t>Defined objective; full acceptance not established by this tracker.</t>
        </is>
      </c>
      <c r="J30" s="28" t="inlineStr">
        <is>
          <t>Ungated elapsed time; only successful pre-deadline transfer renews; expiry wins equality, code 0x1F; no CR13/IRQ action.</t>
        </is>
      </c>
      <c r="K30" s="28" t="inlineStr">
        <is>
          <t>docs/phase-1/04-release/isa-to-fpga-alignment-plan.md</t>
        </is>
      </c>
      <c r="L30" s="28" t="inlineStr">
        <is>
          <t>2026-10-17</t>
        </is>
      </c>
      <c r="M30" s="28" t="n"/>
      <c r="N30" s="28" t="n"/>
    </row>
    <row r="31" ht="90" customHeight="1" s="14">
      <c r="A31" s="28" t="inlineStr">
        <is>
          <t>H15</t>
        </is>
      </c>
      <c r="B31" s="28" t="inlineStr">
        <is>
          <t>Hardware acceptance</t>
        </is>
      </c>
      <c r="C31" s="28" t="inlineStr">
        <is>
          <t>Exemption enter/exit, combined selector+exit (including 0x6), repeated non-exempt writes; every reserved control bit.</t>
        </is>
      </c>
      <c r="D31" s="28" t="inlineStr">
        <is>
          <t>Phase 1 hardware</t>
        </is>
      </c>
      <c r="E31" s="28" t="inlineStr">
        <is>
          <t>High</t>
        </is>
      </c>
      <c r="F31" s="28" t="inlineStr">
        <is>
          <t>Not run</t>
        </is>
      </c>
      <c r="G31" s="28" t="inlineStr">
        <is>
          <t>Unassigned</t>
        </is>
      </c>
      <c r="H31" s="28" t="inlineStr">
        <is>
          <t>See source gate dependencies</t>
        </is>
      </c>
      <c r="I31" s="28" t="inlineStr">
        <is>
          <t>Defined objective; full acceptance not established by this tracker.</t>
        </is>
      </c>
      <c r="J31" s="28" t="inlineStr">
        <is>
          <t>Fresh same-write duration on exit; repeated 0 does not renew; reserved bits read zero, writes wholly reject with 0x0B without stopping time.</t>
        </is>
      </c>
      <c r="K31" s="28" t="inlineStr">
        <is>
          <t>docs/phase-1/04-release/isa-to-fpga-alignment-plan.md</t>
        </is>
      </c>
      <c r="L31" s="28" t="inlineStr">
        <is>
          <t>2026-10-17</t>
        </is>
      </c>
      <c r="M31" s="28" t="n"/>
      <c r="N31" s="28" t="n"/>
    </row>
    <row r="32" ht="90" customHeight="1" s="14">
      <c r="A32" s="28" t="inlineStr">
        <is>
          <t>H16</t>
        </is>
      </c>
      <c r="B32" s="28" t="inlineStr">
        <is>
          <t>Hardware acceptance</t>
        </is>
      </c>
      <c r="C32" s="28" t="inlineStr">
        <is>
          <t>Exemption/selector update at expiry; instruction fault at expiry; incoming mLoad failure at renewal.</t>
        </is>
      </c>
      <c r="D32" s="28" t="inlineStr">
        <is>
          <t>Phase 1 hardware</t>
        </is>
      </c>
      <c r="E32" s="28" t="inlineStr">
        <is>
          <t>High</t>
        </is>
      </c>
      <c r="F32" s="28" t="inlineStr">
        <is>
          <t>Not run</t>
        </is>
      </c>
      <c r="G32" s="28" t="inlineStr">
        <is>
          <t>Unassigned</t>
        </is>
      </c>
      <c r="H32" s="28" t="inlineStr">
        <is>
          <t>See source gate dependencies</t>
        </is>
      </c>
      <c r="I32" s="28" t="inlineStr">
        <is>
          <t>Defined objective; full acceptance not established by this tracker.</t>
        </is>
      </c>
      <c r="J32" s="28" t="inlineStr">
        <is>
          <t>Whole control rejection at expiry; instruction fault wins reporting but not containment; failed transfer never renews.</t>
        </is>
      </c>
      <c r="K32" s="28" t="inlineStr">
        <is>
          <t>docs/phase-1/04-release/isa-to-fpga-alignment-plan.md</t>
        </is>
      </c>
      <c r="L32" s="28" t="inlineStr">
        <is>
          <t>2026-10-17</t>
        </is>
      </c>
      <c r="M32" s="28" t="n"/>
      <c r="N32" s="28" t="n"/>
    </row>
    <row r="33" ht="90" customHeight="1" s="14">
      <c r="A33" s="28" t="inlineStr">
        <is>
          <t>H17</t>
        </is>
      </c>
      <c r="B33" s="28" t="inlineStr">
        <is>
          <t>Hardware acceptance</t>
        </is>
      </c>
      <c r="C33" s="28" t="inlineStr">
        <is>
          <t>Expiry before/on/after program-write acceptance, delayed completion, partial multiwrite instruction and failed outgoing save.</t>
        </is>
      </c>
      <c r="D33" s="28" t="inlineStr">
        <is>
          <t>Phase 1 hardware</t>
        </is>
      </c>
      <c r="E33" s="28" t="inlineStr">
        <is>
          <t>High</t>
        </is>
      </c>
      <c r="F33" s="28" t="inlineStr">
        <is>
          <t>Not run</t>
        </is>
      </c>
      <c r="G33" s="28" t="inlineStr">
        <is>
          <t>Unassigned</t>
        </is>
      </c>
      <c r="H33" s="28" t="inlineStr">
        <is>
          <t>See source gate dependencies</t>
        </is>
      </c>
      <c r="I33" s="28" t="inlineStr">
        <is>
          <t>Defined objective; full acceptance not established by this tracker.</t>
        </is>
      </c>
      <c r="J33" s="28" t="inlineStr">
        <is>
          <t>Stop admission immediately; at most one accepted write completes within measured bound; no remaining instruction writes, retry, rollback or recovery write before completion. Failed validated save is not reported successful.</t>
        </is>
      </c>
      <c r="K33" s="28" t="inlineStr">
        <is>
          <t>docs/phase-1/04-release/isa-to-fpga-alignment-plan.md</t>
        </is>
      </c>
      <c r="L33" s="28" t="inlineStr">
        <is>
          <t>2026-10-17</t>
        </is>
      </c>
      <c r="M33" s="28" t="n"/>
      <c r="N33" s="28" t="n"/>
    </row>
    <row r="34" ht="90" customHeight="1" s="14">
      <c r="A34" s="28" t="inlineStr">
        <is>
          <t>H18</t>
        </is>
      </c>
      <c r="B34" s="28" t="inlineStr">
        <is>
          <t>Hardware acceptance</t>
        </is>
      </c>
      <c r="C34" s="28" t="inlineStr">
        <is>
          <t>HARDFAULT 0xF7000000, retired opcodes, wrong-context reset marker, bad fetch/entry; recovery that changes visible PC.</t>
        </is>
      </c>
      <c r="D34" s="28" t="inlineStr">
        <is>
          <t>Phase 1 hardware</t>
        </is>
      </c>
      <c r="E34" s="28" t="inlineStr">
        <is>
          <t>High</t>
        </is>
      </c>
      <c r="F34" s="28" t="inlineStr">
        <is>
          <t>Not run</t>
        </is>
      </c>
      <c r="G34" s="28" t="inlineStr">
        <is>
          <t>Unassigned</t>
        </is>
      </c>
      <c r="H34" s="28" t="inlineStr">
        <is>
          <t>See source gate dependencies</t>
        </is>
      </c>
      <c r="I34" s="28" t="inlineStr">
        <is>
          <t>Defined objective; full acceptance not established by this tracker.</t>
        </is>
      </c>
      <c r="J34" s="28" t="inlineStr">
        <is>
          <t>First fault code/location and pre-recovery state captured; no HALT substitution, speculative retirement or proof/private-state leakage.</t>
        </is>
      </c>
      <c r="K34" s="28" t="inlineStr">
        <is>
          <t>docs/phase-1/04-release/isa-to-fpga-alignment-plan.md</t>
        </is>
      </c>
      <c r="L34" s="28" t="inlineStr">
        <is>
          <t>2026-10-17</t>
        </is>
      </c>
      <c r="M34" s="28" t="inlineStr">
        <is>
          <t>BASE-05: docs/reviews/phase1-baseline/README.md</t>
        </is>
      </c>
      <c r="N34" s="28" t="n"/>
    </row>
    <row r="35" ht="90" customHeight="1" s="14">
      <c r="A35" s="28" t="inlineStr">
        <is>
          <t>H19</t>
        </is>
      </c>
      <c r="B35" s="28" t="inlineStr">
        <is>
          <t>Hardware acceptance</t>
        </is>
      </c>
      <c r="C35" s="28" t="inlineStr">
        <is>
          <t>Behavioral, emitted RTL, mapped model and board replay of the same fixture.</t>
        </is>
      </c>
      <c r="D35" s="28" t="inlineStr">
        <is>
          <t>Phase 1 hardware</t>
        </is>
      </c>
      <c r="E35" s="28" t="inlineStr">
        <is>
          <t>High</t>
        </is>
      </c>
      <c r="F35" s="28" t="inlineStr">
        <is>
          <t>Not run</t>
        </is>
      </c>
      <c r="G35" s="28" t="inlineStr">
        <is>
          <t>Unassigned</t>
        </is>
      </c>
      <c r="H35" s="28" t="inlineStr">
        <is>
          <t>See source gate dependencies</t>
        </is>
      </c>
      <c r="I35" s="28" t="inlineStr">
        <is>
          <t>Defined objective; full acceptance not established by this tracker.</t>
        </is>
      </c>
      <c r="J35" s="28" t="inlineStr">
        <is>
          <t>Compare committed registers/flags/memory/faults, not internal cycle counts except deadline/completion bounds. No forced X values or stale model accepted.</t>
        </is>
      </c>
      <c r="K35" s="28" t="inlineStr">
        <is>
          <t>docs/phase-1/04-release/isa-to-fpga-alignment-plan.md</t>
        </is>
      </c>
      <c r="L35" s="28" t="inlineStr">
        <is>
          <t>2026-10-17</t>
        </is>
      </c>
      <c r="M35" s="28" t="inlineStr">
        <is>
          <t>BASE-06: docs/reviews/phase1-baseline/README.md</t>
        </is>
      </c>
      <c r="N35" s="28" t="n"/>
    </row>
    <row r="36" ht="90" customHeight="1" s="14">
      <c r="A36" s="28" t="inlineStr">
        <is>
          <t>H20</t>
        </is>
      </c>
      <c r="B36" s="28" t="inlineStr">
        <is>
          <t>Hardware acceptance</t>
        </is>
      </c>
      <c r="C36" s="28" t="inlineStr">
        <is>
          <t>Exact build cold/warm reboot, repeated handoffs and fault/recovery trials; memory/ROM initialization and retained controls.</t>
        </is>
      </c>
      <c r="D36" s="28" t="inlineStr">
        <is>
          <t>Phase 1 hardware</t>
        </is>
      </c>
      <c r="E36" s="28" t="inlineStr">
        <is>
          <t>High</t>
        </is>
      </c>
      <c r="F36" s="28" t="inlineStr">
        <is>
          <t>Not run</t>
        </is>
      </c>
      <c r="G36" s="28" t="inlineStr">
        <is>
          <t>Unassigned</t>
        </is>
      </c>
      <c r="H36" s="28" t="inlineStr">
        <is>
          <t>See source gate dependencies</t>
        </is>
      </c>
      <c r="I36" s="28" t="inlineStr">
        <is>
          <t>Defined objective; full acceptance not established by this tracker.</t>
        </is>
      </c>
      <c r="J36" s="28" t="inlineStr">
        <is>
          <t>Repeatable outcomes tied to bundle/input hashes, board identity, clock, logs and observed completion; no prior-run telemetry counted as new evidence.</t>
        </is>
      </c>
      <c r="K36" s="28" t="inlineStr">
        <is>
          <t>docs/phase-1/04-release/isa-to-fpga-alignment-plan.md</t>
        </is>
      </c>
      <c r="L36" s="28" t="inlineStr">
        <is>
          <t>2026-10-17</t>
        </is>
      </c>
      <c r="M36" s="28" t="inlineStr">
        <is>
          <t>BASE-06: docs/reviews/phase1-baseline/README.md</t>
        </is>
      </c>
      <c r="N36" s="28" t="n"/>
    </row>
    <row r="37" ht="90" customHeight="1" s="14">
      <c r="A37" s="28" t="inlineStr">
        <is>
          <t>S01</t>
        </is>
      </c>
      <c r="B37" s="28" t="inlineStr">
        <is>
          <t>Software acceptance</t>
        </is>
      </c>
      <c r="C37" s="28" t="inlineStr">
        <is>
          <t>One IDE/several CMs; network T/local GT binding and virtual objects. Direct CM-to-CM, multiple IDEs and the two-Namespaces-on-one-FPGA networking test remain Phase 2.</t>
        </is>
      </c>
      <c r="D37" s="28" t="inlineStr">
        <is>
          <t>Phase 1 software</t>
        </is>
      </c>
      <c r="E37" s="28" t="inlineStr">
        <is>
          <t>High</t>
        </is>
      </c>
      <c r="F37" s="28" t="inlineStr">
        <is>
          <t>Not run</t>
        </is>
      </c>
      <c r="G37" s="28" t="inlineStr">
        <is>
          <t>Unassigned</t>
        </is>
      </c>
      <c r="H37" s="28" t="inlineStr">
        <is>
          <t>See source gate dependencies</t>
        </is>
      </c>
      <c r="I37" s="28" t="inlineStr">
        <is>
          <t>Defined objective; full acceptance not established by this tracker.</t>
        </is>
      </c>
      <c r="J37" s="28" t="inlineStr"/>
      <c r="K37" s="28" t="inlineStr">
        <is>
          <t>docs/phase-1/04-release/isa-to-fpga-alignment-plan.md</t>
        </is>
      </c>
      <c r="L37" s="28" t="inlineStr">
        <is>
          <t>2026-10-17</t>
        </is>
      </c>
      <c r="M37" s="28" t="n"/>
      <c r="N37" s="28" t="n"/>
    </row>
    <row r="38" ht="90" customHeight="1" s="14">
      <c r="A38" s="28" t="inlineStr">
        <is>
          <t>S02</t>
        </is>
      </c>
      <c r="B38" s="28" t="inlineStr">
        <is>
          <t>Software acceptance</t>
        </is>
      </c>
      <c r="C38" s="28" t="inlineStr">
        <is>
          <t>Explicit loading; working Mint, pkverify and controlled nstab. Create/Replace/Destroy for application Abstractions, Threads, LS c-lists and RW data; no Mint MMIO/Namespace creation; growth estimates are not measured allocations.</t>
        </is>
      </c>
      <c r="D38" s="28" t="inlineStr">
        <is>
          <t>Phase 1 software</t>
        </is>
      </c>
      <c r="E38" s="28" t="inlineStr">
        <is>
          <t>High</t>
        </is>
      </c>
      <c r="F38" s="28" t="inlineStr">
        <is>
          <t>Not run</t>
        </is>
      </c>
      <c r="G38" s="28" t="inlineStr">
        <is>
          <t>Unassigned</t>
        </is>
      </c>
      <c r="H38" s="28" t="inlineStr">
        <is>
          <t>See source gate dependencies</t>
        </is>
      </c>
      <c r="I38" s="28" t="inlineStr">
        <is>
          <t>Defined objective; full acceptance not established by this tracker.</t>
        </is>
      </c>
      <c r="J38" s="28" t="inlineStr"/>
      <c r="K38" s="28" t="inlineStr">
        <is>
          <t>docs/phase-1/04-release/isa-to-fpga-alignment-plan.md</t>
        </is>
      </c>
      <c r="L38" s="28" t="inlineStr">
        <is>
          <t>2026-10-17</t>
        </is>
      </c>
      <c r="M38" s="28" t="n"/>
      <c r="N38" s="28" t="n"/>
    </row>
    <row r="39" ht="90" customHeight="1" s="14">
      <c r="A39" s="28" t="inlineStr">
        <is>
          <t>S03</t>
        </is>
      </c>
      <c r="B39" s="28" t="inlineStr">
        <is>
          <t>Software acceptance</t>
        </is>
      </c>
      <c r="C39" s="28" t="inlineStr">
        <is>
          <t>Per-operation/target PassKey GT plus separate 128-bit proof; validate before EXACT; Genesis-only setup, sharing and revokers; reusable-until-revoked; pair-only revocation. Negative cases include missing proof, NULL/equal invalid GTs, stale/revoked and insufficient authority. SAVE identifies the GT-side detection point, not a completed proof mechanism.</t>
        </is>
      </c>
      <c r="D39" s="28" t="inlineStr">
        <is>
          <t>Phase 1 software</t>
        </is>
      </c>
      <c r="E39" s="28" t="inlineStr">
        <is>
          <t>High</t>
        </is>
      </c>
      <c r="F39" s="28" t="inlineStr">
        <is>
          <t>Not run</t>
        </is>
      </c>
      <c r="G39" s="28" t="inlineStr">
        <is>
          <t>Unassigned</t>
        </is>
      </c>
      <c r="H39" s="28" t="inlineStr">
        <is>
          <t>See source gate dependencies</t>
        </is>
      </c>
      <c r="I39" s="28" t="inlineStr">
        <is>
          <t>Defined objective; full acceptance not established by this tracker.</t>
        </is>
      </c>
      <c r="J39" s="28" t="inlineStr"/>
      <c r="K39" s="28" t="inlineStr">
        <is>
          <t>docs/phase-1/04-release/isa-to-fpga-alignment-plan.md</t>
        </is>
      </c>
      <c r="L39" s="28" t="inlineStr">
        <is>
          <t>2026-10-17</t>
        </is>
      </c>
      <c r="M39" s="28" t="n"/>
      <c r="N39" s="28" t="n"/>
    </row>
    <row r="40" ht="90" customHeight="1" s="14">
      <c r="A40" s="28" t="inlineStr">
        <is>
          <t>S04</t>
        </is>
      </c>
      <c r="B40" s="28" t="inlineStr">
        <is>
          <t>Software acceptance</t>
        </is>
      </c>
      <c r="C40" s="28" t="inlineStr">
        <is>
          <t>Single-scope LAMBDA alone references NSRW-GT; one exclusive non-yielding slot update; verify/prepare before writes, publish only after confirmed writes. Reject resident/active Thread/code/c-list replacement or destruction before mutation.</t>
        </is>
      </c>
      <c r="D40" s="28" t="inlineStr">
        <is>
          <t>Phase 1 software</t>
        </is>
      </c>
      <c r="E40" s="28" t="inlineStr">
        <is>
          <t>High</t>
        </is>
      </c>
      <c r="F40" s="28" t="inlineStr">
        <is>
          <t>Not run</t>
        </is>
      </c>
      <c r="G40" s="28" t="inlineStr">
        <is>
          <t>Unassigned</t>
        </is>
      </c>
      <c r="H40" s="28" t="inlineStr">
        <is>
          <t>See source gate dependencies</t>
        </is>
      </c>
      <c r="I40" s="28" t="inlineStr">
        <is>
          <t>Defined objective; full acceptance not established by this tracker.</t>
        </is>
      </c>
      <c r="J40" s="28" t="inlineStr"/>
      <c r="K40" s="28" t="inlineStr">
        <is>
          <t>docs/phase-1/04-release/isa-to-fpga-alignment-plan.md</t>
        </is>
      </c>
      <c r="L40" s="28" t="inlineStr">
        <is>
          <t>2026-10-17</t>
        </is>
      </c>
      <c r="M40" s="28" t="n"/>
      <c r="N40" s="28" t="n"/>
    </row>
    <row r="41" ht="90" customHeight="1" s="14">
      <c r="A41" s="28" t="inlineStr">
        <is>
          <t>S05</t>
        </is>
      </c>
      <c r="B41" s="28" t="inlineStr">
        <is>
          <t>Software acceptance</t>
        </is>
      </c>
      <c r="C41" s="28" t="inlineStr">
        <is>
          <t>First issue 0; release advances without wrap; reuse retained version; 510→511 permanently retires; stale issued GTs fault; full block zeroed before reuse; size-class pool tracking. Software enforces allocation policy; hardware never increments.</t>
        </is>
      </c>
      <c r="D41" s="28" t="inlineStr">
        <is>
          <t>Phase 1 software</t>
        </is>
      </c>
      <c r="E41" s="28" t="inlineStr">
        <is>
          <t>High</t>
        </is>
      </c>
      <c r="F41" s="28" t="inlineStr">
        <is>
          <t>Not run</t>
        </is>
      </c>
      <c r="G41" s="28" t="inlineStr">
        <is>
          <t>Unassigned</t>
        </is>
      </c>
      <c r="H41" s="28" t="inlineStr">
        <is>
          <t>See source gate dependencies</t>
        </is>
      </c>
      <c r="I41" s="28" t="inlineStr">
        <is>
          <t>Defined objective; full acceptance not established by this tracker.</t>
        </is>
      </c>
      <c r="J41" s="28" t="inlineStr"/>
      <c r="K41" s="28" t="inlineStr">
        <is>
          <t>docs/phase-1/04-release/isa-to-fpga-alignment-plan.md</t>
        </is>
      </c>
      <c r="L41" s="28" t="inlineStr">
        <is>
          <t>2026-10-17</t>
        </is>
      </c>
      <c r="M41" s="28" t="n"/>
      <c r="N41" s="28" t="n"/>
    </row>
    <row r="42" ht="90" customHeight="1" s="14">
      <c r="A42" s="28" t="inlineStr">
        <is>
          <t>S06</t>
        </is>
      </c>
      <c r="B42" s="28" t="inlineStr">
        <is>
          <t>Software acceptance</t>
        </is>
      </c>
      <c r="C42" s="28" t="inlineStr">
        <is>
          <t>Retained boot-pair values 0…510 per half; unchanged builds retain them; explicitly changed configuration provisions matching bitstream/GTs. CR0-only policy defaults retain, saved per configuration; alternate new-guard choice does not bypass validation.</t>
        </is>
      </c>
      <c r="D42" s="28" t="inlineStr">
        <is>
          <t>Phase 1 software</t>
        </is>
      </c>
      <c r="E42" s="28" t="inlineStr">
        <is>
          <t>High</t>
        </is>
      </c>
      <c r="F42" s="28" t="inlineStr">
        <is>
          <t>Not run</t>
        </is>
      </c>
      <c r="G42" s="28" t="inlineStr">
        <is>
          <t>Unassigned</t>
        </is>
      </c>
      <c r="H42" s="28" t="inlineStr">
        <is>
          <t>See source gate dependencies</t>
        </is>
      </c>
      <c r="I42" s="28" t="inlineStr">
        <is>
          <t>Defined objective; full acceptance not established by this tracker.</t>
        </is>
      </c>
      <c r="J42" s="28" t="inlineStr"/>
      <c r="K42" s="28" t="inlineStr">
        <is>
          <t>docs/phase-1/04-release/isa-to-fpga-alignment-plan.md</t>
        </is>
      </c>
      <c r="L42" s="28" t="inlineStr">
        <is>
          <t>2026-10-17</t>
        </is>
      </c>
      <c r="M42" s="28" t="n"/>
      <c r="N42" s="28" t="n"/>
    </row>
    <row r="43" ht="90" customHeight="1" s="14">
      <c r="A43" s="28" t="inlineStr">
        <is>
          <t>S07</t>
        </is>
      </c>
      <c r="B43" s="28" t="inlineStr">
        <is>
          <t>Software acceptance</t>
        </is>
      </c>
      <c r="C43" s="28" t="inlineStr">
        <is>
          <t>Exact-artifact static HARDFAULT attribution; otherwise raw origin. No private proof logging. Full release evidence includes simulator/RTL/exact board; any Genesis override records scope explicitly and is never a pass.</t>
        </is>
      </c>
      <c r="D43" s="28" t="inlineStr">
        <is>
          <t>Phase 1 software</t>
        </is>
      </c>
      <c r="E43" s="28" t="inlineStr">
        <is>
          <t>High</t>
        </is>
      </c>
      <c r="F43" s="28" t="inlineStr">
        <is>
          <t>Not run</t>
        </is>
      </c>
      <c r="G43" s="28" t="inlineStr">
        <is>
          <t>Unassigned</t>
        </is>
      </c>
      <c r="H43" s="28" t="inlineStr">
        <is>
          <t>See source gate dependencies</t>
        </is>
      </c>
      <c r="I43" s="28" t="inlineStr">
        <is>
          <t>Defined objective; full acceptance not established by this tracker.</t>
        </is>
      </c>
      <c r="J43" s="28" t="inlineStr"/>
      <c r="K43" s="28" t="inlineStr">
        <is>
          <t>docs/phase-1/04-release/isa-to-fpga-alignment-plan.md</t>
        </is>
      </c>
      <c r="L43" s="28" t="inlineStr">
        <is>
          <t>2026-10-17</t>
        </is>
      </c>
      <c r="M43" s="28" t="n"/>
      <c r="N43" s="28" t="n"/>
    </row>
    <row r="44" ht="90" customHeight="1" s="14">
      <c r="A44" s="28" t="inlineStr">
        <is>
          <t>CM-A</t>
        </is>
      </c>
      <c r="B44" s="28" t="inlineStr">
        <is>
          <t>CM objectives</t>
        </is>
      </c>
      <c r="C44" s="28" t="inlineStr">
        <is>
          <t>Defined shared tuples per Thread</t>
        </is>
      </c>
      <c r="D44" s="28" t="inlineStr">
        <is>
          <t>Phase 1 assurance</t>
        </is>
      </c>
      <c r="E44" s="28" t="inlineStr">
        <is>
          <t>High</t>
        </is>
      </c>
      <c r="F44" s="28" t="inlineStr">
        <is>
          <t>Not run</t>
        </is>
      </c>
      <c r="G44" s="28" t="inlineStr">
        <is>
          <t>Unassigned</t>
        </is>
      </c>
      <c r="H44" s="28" t="inlineStr">
        <is>
          <t>See source gate dependencies</t>
        </is>
      </c>
      <c r="I44" s="28" t="inlineStr">
        <is>
          <t>Defined objective; full acceptance not established by this tracker.</t>
        </is>
      </c>
      <c r="J44" s="28" t="inlineStr">
        <is>
          <t>Multiple authorized methods read/update one defined record across calls and returns; other records are unchanged; another Thread gains no implicit access; stale allocation references are rejected.</t>
        </is>
      </c>
      <c r="K44" s="28" t="inlineStr">
        <is>
          <t>docs/phase-1/W7-plus-plus-test-objectives.md</t>
        </is>
      </c>
      <c r="L44" s="28" t="inlineStr">
        <is>
          <t>2026-10-17</t>
        </is>
      </c>
      <c r="M44" s="28" t="n"/>
      <c r="N44" s="28" t="n"/>
    </row>
    <row r="45" ht="90" customHeight="1" s="14">
      <c r="A45" s="28" t="inlineStr">
        <is>
          <t>CM-B</t>
        </is>
      </c>
      <c r="B45" s="28" t="inlineStr">
        <is>
          <t>CM objectives</t>
        </is>
      </c>
      <c r="C45" s="28" t="inlineStr">
        <is>
          <t>Protected continuation versus heap data</t>
        </is>
      </c>
      <c r="D45" s="28" t="inlineStr">
        <is>
          <t>Phase 1 assurance</t>
        </is>
      </c>
      <c r="E45" s="28" t="inlineStr">
        <is>
          <t>High</t>
        </is>
      </c>
      <c r="F45" s="28" t="inlineStr">
        <is>
          <t>Not run</t>
        </is>
      </c>
      <c r="G45" s="28" t="inlineStr">
        <is>
          <t>Unassigned</t>
        </is>
      </c>
      <c r="H45" s="28" t="inlineStr">
        <is>
          <t>See source gate dependencies</t>
        </is>
      </c>
      <c r="I45" s="28" t="inlineStr">
        <is>
          <t>Defined objective; full acceptance not established by this tracker.</t>
        </is>
      </c>
      <c r="J45" s="28" t="inlineStr">
        <is>
          <t>Authorized heap operations cannot modify protected frames or ownership metadata; a defined self-capture preserves execution ownership and records the specified continuation without CHANGE. Callable capture remains gated on its contract.</t>
        </is>
      </c>
      <c r="K45" s="28" t="inlineStr">
        <is>
          <t>docs/phase-1/W7-plus-plus-test-objectives.md</t>
        </is>
      </c>
      <c r="L45" s="28" t="inlineStr">
        <is>
          <t>2026-10-17</t>
        </is>
      </c>
      <c r="M45" s="28" t="n"/>
      <c r="N45" s="28" t="n"/>
    </row>
    <row r="46" ht="90" customHeight="1" s="14">
      <c r="A46" s="28" t="inlineStr">
        <is>
          <t>CM-C</t>
        </is>
      </c>
      <c r="B46" s="28" t="inlineStr">
        <is>
          <t>CM objectives</t>
        </is>
      </c>
      <c r="C46" s="28" t="inlineStr">
        <is>
          <t>Retained checkpoints and rollback</t>
        </is>
      </c>
      <c r="D46" s="28" t="inlineStr">
        <is>
          <t>Phase 1 assurance</t>
        </is>
      </c>
      <c r="E46" s="28" t="inlineStr">
        <is>
          <t>High</t>
        </is>
      </c>
      <c r="F46" s="28" t="inlineStr">
        <is>
          <t>Not run</t>
        </is>
      </c>
      <c r="G46" s="28" t="inlineStr">
        <is>
          <t>Unassigned</t>
        </is>
      </c>
      <c r="H46" s="28" t="inlineStr">
        <is>
          <t>See source gate dependencies</t>
        </is>
      </c>
      <c r="I46" s="28" t="inlineStr">
        <is>
          <t>Defined objective; full acceptance not established by this tracker.</t>
        </is>
      </c>
      <c r="J46" s="28" t="inlineStr">
        <is>
          <t>Verify one-shot restore, copied checkpoint identity, reset invalidation/retention, and fail-closed interruption. Restore only the declared data scope and never historical ownership/consumption metadata. Gated on checkpoint implementation.</t>
        </is>
      </c>
      <c r="K46" s="28" t="inlineStr">
        <is>
          <t>docs/phase-1/W7-plus-plus-test-objectives.md</t>
        </is>
      </c>
      <c r="L46" s="28" t="inlineStr">
        <is>
          <t>2026-10-17</t>
        </is>
      </c>
      <c r="M46" s="28" t="n"/>
      <c r="N46" s="28" t="n"/>
    </row>
    <row r="47" ht="90" customHeight="1" s="14">
      <c r="A47" s="28" t="inlineStr">
        <is>
          <t>CM-D</t>
        </is>
      </c>
      <c r="B47" s="28" t="inlineStr">
        <is>
          <t>CM objectives</t>
        </is>
      </c>
      <c r="C47" s="28" t="inlineStr">
        <is>
          <t>Capability-controlled MMIO</t>
        </is>
      </c>
      <c r="D47" s="28" t="inlineStr">
        <is>
          <t>Phase 1 assurance</t>
        </is>
      </c>
      <c r="E47" s="28" t="inlineStr">
        <is>
          <t>High</t>
        </is>
      </c>
      <c r="F47" s="28" t="inlineStr">
        <is>
          <t>Not run</t>
        </is>
      </c>
      <c r="G47" s="28" t="inlineStr">
        <is>
          <t>Unassigned</t>
        </is>
      </c>
      <c r="H47" s="28" t="inlineStr">
        <is>
          <t>See source gate dependencies</t>
        </is>
      </c>
      <c r="I47" s="28" t="inlineStr">
        <is>
          <t>Defined objective; full acceptance not established by this tracker.</t>
        </is>
      </c>
      <c r="J47" s="28" t="inlineStr">
        <is>
          <t>Test authorized device access, absent/insufficient authority, invalid bounds and malformed register writes. Rejected operations produce no unauthorized device effect; heap rollback does not replay MMIO. Separate emulator evidence from physical-device evidence.</t>
        </is>
      </c>
      <c r="K47" s="28" t="inlineStr">
        <is>
          <t>docs/phase-1/W7-plus-plus-test-objectives.md</t>
        </is>
      </c>
      <c r="L47" s="28" t="inlineStr">
        <is>
          <t>2026-10-17</t>
        </is>
      </c>
      <c r="M47" s="28" t="n"/>
      <c r="N47" s="28" t="n"/>
    </row>
    <row r="48" ht="90" customHeight="1" s="14">
      <c r="A48" s="28" t="inlineStr">
        <is>
          <t>CM-E</t>
        </is>
      </c>
      <c r="B48" s="28" t="inlineStr">
        <is>
          <t>CM objectives</t>
        </is>
      </c>
      <c r="C48" s="28" t="inlineStr">
        <is>
          <t>Thread execution ownership</t>
        </is>
      </c>
      <c r="D48" s="28" t="inlineStr">
        <is>
          <t>Phase 1 assurance</t>
        </is>
      </c>
      <c r="E48" s="28" t="inlineStr">
        <is>
          <t>High</t>
        </is>
      </c>
      <c r="F48" s="28" t="inlineStr">
        <is>
          <t>Not run</t>
        </is>
      </c>
      <c r="G48" s="28" t="inlineStr">
        <is>
          <t>Unassigned</t>
        </is>
      </c>
      <c r="H48" s="28" t="inlineStr">
        <is>
          <t>See source gate dependencies</t>
        </is>
      </c>
      <c r="I48" s="28" t="inlineStr">
        <is>
          <t>Defined objective; full acceptance not established by this tracker.</t>
        </is>
      </c>
      <c r="J48" s="28" t="inlineStr">
        <is>
          <t>Test distinct-target exclusion, continuous self-target ownership, pause/step preservation, and all indicator writers. Verify saved NIA cannot supply ownership. Gated on running-bit approval and implementation.</t>
        </is>
      </c>
      <c r="K48" s="28" t="inlineStr">
        <is>
          <t>docs/phase-1/W7-plus-plus-test-objectives.md</t>
        </is>
      </c>
      <c r="L48" s="28" t="inlineStr">
        <is>
          <t>2026-10-17</t>
        </is>
      </c>
      <c r="M48" s="28" t="n"/>
      <c r="N48" s="28" t="n"/>
    </row>
    <row r="49" ht="90" customHeight="1" s="14">
      <c r="A49" s="28" t="inlineStr">
        <is>
          <t>CM-F</t>
        </is>
      </c>
      <c r="B49" s="28" t="inlineStr">
        <is>
          <t>CM objectives</t>
        </is>
      </c>
      <c r="C49" s="28" t="inlineStr">
        <is>
          <t>Hardware watchdog containment</t>
        </is>
      </c>
      <c r="D49" s="28" t="inlineStr">
        <is>
          <t>Phase 1 assurance</t>
        </is>
      </c>
      <c r="E49" s="28" t="inlineStr">
        <is>
          <t>High</t>
        </is>
      </c>
      <c r="F49" s="28" t="inlineStr">
        <is>
          <t>Not run</t>
        </is>
      </c>
      <c r="G49" s="28" t="inlineStr">
        <is>
          <t>Unassigned</t>
        </is>
      </c>
      <c r="H49" s="28" t="inlineStr">
        <is>
          <t>See source gate dependencies</t>
        </is>
      </c>
      <c r="I49" s="28" t="inlineStr">
        <is>
          <t>Defined objective; full acceptance not established by this tracker.</t>
        </is>
      </c>
      <c r="J49" s="28" t="inlineStr">
        <is>
          <t>With exemption explicitly disabled, test documented elapsed-time expiry during loops/deep calls and accepted-write completion before protected capture. Test exemption authority separately; do not substitute a caller-return oracle for the specified hard fault.</t>
        </is>
      </c>
      <c r="K49" s="28" t="inlineStr">
        <is>
          <t>docs/phase-1/W7-plus-plus-test-objectives.md</t>
        </is>
      </c>
      <c r="L49" s="28" t="inlineStr">
        <is>
          <t>2026-10-17</t>
        </is>
      </c>
      <c r="M49" s="28" t="n"/>
      <c r="N49" s="28" t="n"/>
    </row>
    <row r="50" ht="90" customHeight="1" s="14">
      <c r="A50" s="28" t="inlineStr">
        <is>
          <t>CM-G</t>
        </is>
      </c>
      <c r="B50" s="28" t="inlineStr">
        <is>
          <t>CM objectives</t>
        </is>
      </c>
      <c r="C50" s="28" t="inlineStr">
        <is>
          <t>IDE/runtime tuple agreement</t>
        </is>
      </c>
      <c r="D50" s="28" t="inlineStr">
        <is>
          <t>Phase 1 assurance</t>
        </is>
      </c>
      <c r="E50" s="28" t="inlineStr">
        <is>
          <t>High</t>
        </is>
      </c>
      <c r="F50" s="28" t="inlineStr">
        <is>
          <t>Not run</t>
        </is>
      </c>
      <c r="G50" s="28" t="inlineStr">
        <is>
          <t>Unassigned</t>
        </is>
      </c>
      <c r="H50" s="28" t="inlineStr">
        <is>
          <t>See source gate dependencies</t>
        </is>
      </c>
      <c r="I50" s="28" t="inlineStr">
        <is>
          <t>Defined objective; full acceptance not established by this tracker.</t>
        </is>
      </c>
      <c r="J50" s="28" t="inlineStr">
        <is>
          <t>Round-trip JSON through the same tuple layout used by callable methods; preserve omitted fields; reject stale confirmations and invalid edits without partial writes or protected-state changes.</t>
        </is>
      </c>
      <c r="K50" s="28" t="inlineStr">
        <is>
          <t>docs/phase-1/W7-plus-plus-test-objectives.md</t>
        </is>
      </c>
      <c r="L50" s="28" t="inlineStr">
        <is>
          <t>2026-10-17</t>
        </is>
      </c>
      <c r="M50" s="28" t="n"/>
      <c r="N50" s="28" t="n"/>
    </row>
    <row r="51" ht="90" customHeight="1" s="14">
      <c r="A51" s="28" t="inlineStr">
        <is>
          <t>CM-H</t>
        </is>
      </c>
      <c r="B51" s="28" t="inlineStr">
        <is>
          <t>CM objectives</t>
        </is>
      </c>
      <c r="C51" s="28" t="inlineStr">
        <is>
          <t>Exact artifact/build attribution</t>
        </is>
      </c>
      <c r="D51" s="28" t="inlineStr">
        <is>
          <t>Phase 1 assurance</t>
        </is>
      </c>
      <c r="E51" s="28" t="inlineStr">
        <is>
          <t>High</t>
        </is>
      </c>
      <c r="F51" s="28" t="inlineStr">
        <is>
          <t>Not run</t>
        </is>
      </c>
      <c r="G51" s="28" t="inlineStr">
        <is>
          <t>Unassigned</t>
        </is>
      </c>
      <c r="H51" s="28" t="inlineStr">
        <is>
          <t>See source gate dependencies</t>
        </is>
      </c>
      <c r="I51" s="28" t="inlineStr">
        <is>
          <t>Defined objective; full acceptance not established by this tracker.</t>
        </is>
      </c>
      <c r="J51" s="28" t="inlineStr">
        <is>
          <t>Attach the actual LUMP/configuration and implementation identities to results; hardware claims identify the tested bitstream and board. Mark differences from simulator-only coverage.</t>
        </is>
      </c>
      <c r="K51" s="28" t="inlineStr">
        <is>
          <t>docs/phase-1/W7-plus-plus-test-objectives.md</t>
        </is>
      </c>
      <c r="L51" s="28" t="inlineStr">
        <is>
          <t>2026-10-17</t>
        </is>
      </c>
      <c r="M51" s="28" t="inlineStr">
        <is>
          <t>BASE-09: docs/reviews/phase1-baseline/README.md</t>
        </is>
      </c>
      <c r="N51" s="28" t="n"/>
    </row>
    <row r="52" ht="90" customHeight="1" s="14">
      <c r="A52" s="28" t="inlineStr">
        <is>
          <t>PERF-1</t>
        </is>
      </c>
      <c r="B52" s="28" t="inlineStr">
        <is>
          <t>Performance</t>
        </is>
      </c>
      <c r="C52" s="28" t="inlineStr">
        <is>
          <t>Register arithmetic and branches, e.g. IADD/ISUB plus loop control</t>
        </is>
      </c>
      <c r="D52" s="28" t="inlineStr">
        <is>
          <t>Phase 1 measurement</t>
        </is>
      </c>
      <c r="E52" s="28" t="inlineStr">
        <is>
          <t>High</t>
        </is>
      </c>
      <c r="F52" s="28" t="inlineStr">
        <is>
          <t>Not run</t>
        </is>
      </c>
      <c r="G52" s="28" t="inlineStr">
        <is>
          <t>Unassigned</t>
        </is>
      </c>
      <c r="H52" s="28" t="inlineStr">
        <is>
          <t>See source gate dependencies</t>
        </is>
      </c>
      <c r="I52" s="28" t="inlineStr">
        <is>
          <t>Estimate only: Approximately 2 cycles/instruction / 25 million</t>
        </is>
      </c>
      <c r="J52" s="28" t="inlineStr">
        <is>
          <t>Measure correct successful retirements for five one-second windows; retain exact build and trace mode.</t>
        </is>
      </c>
      <c r="K52" s="28" t="inlineStr">
        <is>
          <t>docs/phase-1/W7-plus-plus-test-objectives.md</t>
        </is>
      </c>
      <c r="L52" s="28" t="inlineStr">
        <is>
          <t>2026-10-17</t>
        </is>
      </c>
      <c r="M52" s="28" t="n"/>
      <c r="N52" s="28" t="n"/>
    </row>
    <row r="53" ht="90" customHeight="1" s="14">
      <c r="A53" s="28" t="inlineStr">
        <is>
          <t>PERF-2</t>
        </is>
      </c>
      <c r="B53" s="28" t="inlineStr">
        <is>
          <t>Performance</t>
        </is>
      </c>
      <c r="C53" s="28" t="inlineStr">
        <is>
          <t>Authorized local DREAD/DWRITE loops, with readback verification</t>
        </is>
      </c>
      <c r="D53" s="28" t="inlineStr">
        <is>
          <t>Phase 1 measurement</t>
        </is>
      </c>
      <c r="E53" s="28" t="inlineStr">
        <is>
          <t>High</t>
        </is>
      </c>
      <c r="F53" s="28" t="inlineStr">
        <is>
          <t>Not run</t>
        </is>
      </c>
      <c r="G53" s="28" t="inlineStr">
        <is>
          <t>Unassigned</t>
        </is>
      </c>
      <c r="H53" s="28" t="inlineStr">
        <is>
          <t>See source gate dependencies</t>
        </is>
      </c>
      <c r="I53" s="28" t="inlineStr">
        <is>
          <t>Estimate only: Approximately 4–5 cycles/instruction / 10–12.5 million</t>
        </is>
      </c>
      <c r="J53" s="28" t="inlineStr">
        <is>
          <t>Measure correct successful retirements for five one-second windows; retain exact build and trace mode.</t>
        </is>
      </c>
      <c r="K53" s="28" t="inlineStr">
        <is>
          <t>docs/phase-1/W7-plus-plus-test-objectives.md</t>
        </is>
      </c>
      <c r="L53" s="28" t="inlineStr">
        <is>
          <t>2026-10-17</t>
        </is>
      </c>
      <c r="M53" s="28" t="n"/>
      <c r="N53" s="28" t="n"/>
    </row>
    <row r="54" ht="90" customHeight="1" s="14">
      <c r="A54" s="28" t="inlineStr">
        <is>
          <t>PERF-3</t>
        </is>
      </c>
      <c r="B54" s="28" t="inlineStr">
        <is>
          <t>Performance</t>
        </is>
      </c>
      <c r="C54" s="28" t="inlineStr">
        <is>
          <t>Fixed, declared mix of arithmetic, memory and capability/control instructions</t>
        </is>
      </c>
      <c r="D54" s="28" t="inlineStr">
        <is>
          <t>Phase 1 measurement</t>
        </is>
      </c>
      <c r="E54" s="28" t="inlineStr">
        <is>
          <t>High</t>
        </is>
      </c>
      <c r="F54" s="28" t="inlineStr">
        <is>
          <t>Not run</t>
        </is>
      </c>
      <c r="G54" s="28" t="inlineStr">
        <is>
          <t>Unassigned</t>
        </is>
      </c>
      <c r="H54" s="28" t="inlineStr">
        <is>
          <t>See source gate dependencies</t>
        </is>
      </c>
      <c r="I54" s="28" t="inlineStr">
        <is>
          <t>Estimate only: Assumed average 10 cycles/instruction / 5 million</t>
        </is>
      </c>
      <c r="J54" s="28" t="inlineStr">
        <is>
          <t>Measure correct successful retirements for five one-second windows; retain exact build and trace mode.</t>
        </is>
      </c>
      <c r="K54" s="28" t="inlineStr">
        <is>
          <t>docs/phase-1/W7-plus-plus-test-objectives.md</t>
        </is>
      </c>
      <c r="L54" s="28" t="inlineStr">
        <is>
          <t>2026-10-17</t>
        </is>
      </c>
      <c r="M54" s="28" t="n"/>
      <c r="N54" s="28" t="n"/>
    </row>
    <row r="55" ht="90" customHeight="1" s="14">
      <c r="A55" s="28" t="inlineStr">
        <is>
          <t>PERF-4</t>
        </is>
      </c>
      <c r="B55" s="28" t="inlineStr">
        <is>
          <t>Performance</t>
        </is>
      </c>
      <c r="C55" s="28" t="inlineStr">
        <is>
          <t>Capability/control-heavy workload, including legal CALL/RETURN and CHANGE/SWITCH paths</t>
        </is>
      </c>
      <c r="D55" s="28" t="inlineStr">
        <is>
          <t>Phase 1 measurement</t>
        </is>
      </c>
      <c r="E55" s="28" t="inlineStr">
        <is>
          <t>High</t>
        </is>
      </c>
      <c r="F55" s="28" t="inlineStr">
        <is>
          <t>Not run</t>
        </is>
      </c>
      <c r="G55" s="28" t="inlineStr">
        <is>
          <t>Unassigned</t>
        </is>
      </c>
      <c r="H55" s="28" t="inlineStr">
        <is>
          <t>See source gate dependencies</t>
        </is>
      </c>
      <c r="I55" s="28" t="inlineStr">
        <is>
          <t>Estimate only: Illustrative average 25–50 cycles/instruction, not a timing claim for each opcode / 1–2 million</t>
        </is>
      </c>
      <c r="J55" s="28" t="inlineStr">
        <is>
          <t>Measure correct successful retirements for five one-second windows; retain exact build and trace mode.</t>
        </is>
      </c>
      <c r="K55" s="28" t="inlineStr">
        <is>
          <t>docs/phase-1/W7-plus-plus-test-objectives.md</t>
        </is>
      </c>
      <c r="L55" s="28" t="inlineStr">
        <is>
          <t>2026-10-17</t>
        </is>
      </c>
      <c r="M55" s="28" t="n"/>
      <c r="N55" s="28" t="n"/>
    </row>
    <row r="56" ht="90" customHeight="1" s="14">
      <c r="A56" s="28" t="inlineStr">
        <is>
          <t>PERF-5</t>
        </is>
      </c>
      <c r="B56" s="28" t="inlineStr">
        <is>
          <t>Performance</t>
        </is>
      </c>
      <c r="C56" s="28" t="inlineStr">
        <is>
          <t>Trace-limited execution with one 12-byte packet per retired instruction</t>
        </is>
      </c>
      <c r="D56" s="28" t="inlineStr">
        <is>
          <t>Phase 1 measurement</t>
        </is>
      </c>
      <c r="E56" s="28" t="inlineStr">
        <is>
          <t>High</t>
        </is>
      </c>
      <c r="F56" s="28" t="inlineStr">
        <is>
          <t>Not run</t>
        </is>
      </c>
      <c r="G56" s="28" t="inlineStr">
        <is>
          <t>Unassigned</t>
        </is>
      </c>
      <c r="H56" s="28" t="inlineStr">
        <is>
          <t>See source gate dependencies</t>
        </is>
      </c>
      <c r="I56" s="28" t="inlineStr">
        <is>
          <t>Estimate only: 57,600 baud, 8N1, 120 serial bits/instruction / Approximately 480 maximum</t>
        </is>
      </c>
      <c r="J56" s="28" t="inlineStr">
        <is>
          <t>Measure correct successful retirements for five one-second windows; retain exact build and trace mode.</t>
        </is>
      </c>
      <c r="K56" s="28" t="inlineStr">
        <is>
          <t>docs/phase-1/W7-plus-plus-test-objectives.md</t>
        </is>
      </c>
      <c r="L56" s="28" t="inlineStr">
        <is>
          <t>2026-10-17</t>
        </is>
      </c>
      <c r="M56" s="28" t="n"/>
      <c r="N56" s="28" t="n"/>
    </row>
    <row r="57" ht="90" customHeight="1" s="14">
      <c r="A57" s="28" t="inlineStr">
        <is>
          <t>PERF-6</t>
        </is>
      </c>
      <c r="B57" s="28" t="inlineStr">
        <is>
          <t>Performance</t>
        </is>
      </c>
      <c r="C57" s="28" t="inlineStr">
        <is>
          <t>Trace-limited execution with three 12-byte packets per retired instruction</t>
        </is>
      </c>
      <c r="D57" s="28" t="inlineStr">
        <is>
          <t>Phase 1 measurement</t>
        </is>
      </c>
      <c r="E57" s="28" t="inlineStr">
        <is>
          <t>High</t>
        </is>
      </c>
      <c r="F57" s="28" t="inlineStr">
        <is>
          <t>Not run</t>
        </is>
      </c>
      <c r="G57" s="28" t="inlineStr">
        <is>
          <t>Unassigned</t>
        </is>
      </c>
      <c r="H57" s="28" t="inlineStr">
        <is>
          <t>See source gate dependencies</t>
        </is>
      </c>
      <c r="I57" s="28" t="inlineStr">
        <is>
          <t>Estimate only: 57,600 baud, 8N1, 360 serial bits/instruction / Approximately 160 maximum</t>
        </is>
      </c>
      <c r="J57" s="28" t="inlineStr">
        <is>
          <t>Measure correct successful retirements for five one-second windows; retain exact build and trace mode.</t>
        </is>
      </c>
      <c r="K57" s="28" t="inlineStr">
        <is>
          <t>docs/phase-1/W7-plus-plus-test-objectives.md</t>
        </is>
      </c>
      <c r="L57" s="28" t="inlineStr">
        <is>
          <t>2026-10-17</t>
        </is>
      </c>
      <c r="M57" s="28" t="n"/>
      <c r="N57" s="28" t="n"/>
    </row>
    <row r="58" ht="90" customHeight="1" s="14">
      <c r="A58" s="28" t="inlineStr">
        <is>
          <t>G1</t>
        </is>
      </c>
      <c r="B58" s="28" t="inlineStr">
        <is>
          <t>Mint gates</t>
        </is>
      </c>
      <c r="C58" s="28" t="inlineStr">
        <is>
          <t>G1 — Legal Lambda/ABI/results</t>
        </is>
      </c>
      <c r="D58" s="28" t="inlineStr">
        <is>
          <t>Phase 1 software</t>
        </is>
      </c>
      <c r="E58" s="28" t="inlineStr">
        <is>
          <t>High</t>
        </is>
      </c>
      <c r="F58" s="28" t="inlineStr">
        <is>
          <t>Open</t>
        </is>
      </c>
      <c r="G58" s="28" t="inlineStr">
        <is>
          <t>Unassigned</t>
        </is>
      </c>
      <c r="H58" s="28" t="inlineStr">
        <is>
          <t>See source gate dependencies</t>
        </is>
      </c>
      <c r="I58" s="28" t="inlineStr">
        <is>
          <t>S02 Lambda location jump vs inline JS; S03 continuation/frame/keep-mask differences; no demonstrated internal label X or CR result path</t>
        </is>
      </c>
      <c r="J58" s="28" t="inlineStr">
        <is>
          <t>Prefer an existing legal same-artifact X binding plus validated private result-cell LOAD. Otherwise specify smallest architectural change; do not fabricate CRs, make a separate service, or enable old fused opcodes / Engineering trace and same-byte cross-layer tests first. Explicit architectural/provisioning approval if new subobject authority, aliases or continuation semantics are required. Accept exact proposed ABI only after this</t>
        </is>
      </c>
      <c r="K58" s="28" t="inlineStr">
        <is>
          <t>docs/reviews/mint-phase1/open-issues.md</t>
        </is>
      </c>
      <c r="L58" s="28" t="inlineStr">
        <is>
          <t>2026-10-17</t>
        </is>
      </c>
      <c r="M58" s="28" t="n"/>
      <c r="N58" s="28" t="n"/>
    </row>
    <row r="59" ht="90" customHeight="1" s="14">
      <c r="A59" s="28" t="inlineStr">
        <is>
          <t>G2</t>
        </is>
      </c>
      <c r="B59" s="28" t="inlineStr">
        <is>
          <t>Mint gates</t>
        </is>
      </c>
      <c r="C59" s="28" t="inlineStr">
        <is>
          <t>G2 — Original requester</t>
        </is>
      </c>
      <c r="D59" s="28" t="inlineStr">
        <is>
          <t>Phase 1 software</t>
        </is>
      </c>
      <c r="E59" s="28" t="inlineStr">
        <is>
          <t>High</t>
        </is>
      </c>
      <c r="F59" s="28" t="inlineStr">
        <is>
          <t>Open</t>
        </is>
      </c>
      <c r="G59" s="28" t="inlineStr">
        <is>
          <t>Unassigned</t>
        </is>
      </c>
      <c r="H59" s="28" t="inlineStr">
        <is>
          <t>See source gate dependencies</t>
        </is>
      </c>
      <c r="I59" s="28" t="inlineStr">
        <is>
          <t>S03 protected caller E exists, not a proven service-facing authenticated hierarchy API</t>
        </is>
      </c>
      <c r="J59" s="28" t="inlineStr">
        <is>
          <t>Prefer bounded read-only context attestation using existing trusted frame validation. Alternative new narrowly scoped context interface; reject caller strings, Owner bits and host callStack / Demonstrate legal authority and hierarchy mapping across Mint→PkVerify. Approve any new interface rather than broad Thread/NSRW access</t>
        </is>
      </c>
      <c r="K59" s="28" t="inlineStr">
        <is>
          <t>docs/reviews/mint-phase1/open-issues.md</t>
        </is>
      </c>
      <c r="L59" s="28" t="inlineStr">
        <is>
          <t>2026-10-17</t>
        </is>
      </c>
      <c r="M59" s="28" t="n"/>
      <c r="N59" s="28" t="n"/>
    </row>
    <row r="60" ht="90" customHeight="1" s="14">
      <c r="A60" s="28" t="inlineStr">
        <is>
          <t>G3</t>
        </is>
      </c>
      <c r="B60" s="28" t="inlineStr">
        <is>
          <t>Mint gates</t>
        </is>
      </c>
      <c r="C60" s="28" t="inlineStr">
        <is>
          <t>G3 — All live return dependencies</t>
        </is>
      </c>
      <c r="D60" s="28" t="inlineStr">
        <is>
          <t>Phase 1 software</t>
        </is>
      </c>
      <c r="E60" s="28" t="inlineStr">
        <is>
          <t>High</t>
        </is>
      </c>
      <c r="F60" s="28" t="inlineStr">
        <is>
          <t>Open</t>
        </is>
      </c>
      <c r="G60" s="28" t="inlineStr">
        <is>
          <t>Unassigned</t>
        </is>
      </c>
      <c r="H60" s="28" t="inlineStr">
        <is>
          <t>See source gate dependencies</t>
        </is>
      </c>
      <c r="I60" s="28" t="inlineStr">
        <is>
          <t>S03 protected STO outside heap; no complete authoritative cross-Thread scanner found</t>
        </is>
      </c>
      <c r="J60" s="28" t="inlineStr">
        <is>
          <t>Prefer validated bounded traversal of all live/suspended contexts under exclusion; alternative protected fully maintained dependency index / Engineering coverage of every frame/context lifecycle and corruption case. Approve interface if protected state is inaccessible; never narrow to current CR14/CR6 or all outstanding GTs</t>
        </is>
      </c>
      <c r="K60" s="28" t="inlineStr">
        <is>
          <t>docs/reviews/mint-phase1/open-issues.md</t>
        </is>
      </c>
      <c r="L60" s="28" t="inlineStr">
        <is>
          <t>2026-10-17</t>
        </is>
      </c>
      <c r="M60" s="28" t="n"/>
      <c r="N60" s="28" t="n"/>
    </row>
    <row r="61" ht="90" customHeight="1" s="14">
      <c r="A61" s="28" t="inlineStr">
        <is>
          <t>G4</t>
        </is>
      </c>
      <c r="B61" s="28" t="inlineStr">
        <is>
          <t>Mint gates</t>
        </is>
      </c>
      <c r="C61" s="28" t="inlineStr">
        <is>
          <t>G4 — Whole-update envelope</t>
        </is>
      </c>
      <c r="D61" s="28" t="inlineStr">
        <is>
          <t>Phase 1 software</t>
        </is>
      </c>
      <c r="E61" s="28" t="inlineStr">
        <is>
          <t>High</t>
        </is>
      </c>
      <c r="F61" s="28" t="inlineStr">
        <is>
          <t>Open</t>
        </is>
      </c>
      <c r="G61" s="28" t="inlineStr">
        <is>
          <t>Unassigned</t>
        </is>
      </c>
      <c r="H61" s="28" t="inlineStr">
        <is>
          <t>See source gate dependencies</t>
        </is>
      </c>
      <c r="I61" s="28" t="inlineStr">
        <is>
          <t>S06 per-instruction busy; S07 M6/raw UART/reset and RAM priority; readback alone insufficient</t>
        </is>
      </c>
      <c r="J61" s="28" t="inlineStr">
        <is>
          <t>First prove bounded existing admission/observer exclusion. If impossible, propose minimal interlock/reset containment or explicitly enforceable operational constraints. Prefer no new engine, but never weaken safety to avoid hardware / Engineering reachability and accepted-write latency evidence. Explicit approval for new hardware or restrictions; software gate separate from bitstream milestone</t>
        </is>
      </c>
      <c r="K61" s="28" t="inlineStr">
        <is>
          <t>docs/reviews/mint-phase1/open-issues.md</t>
        </is>
      </c>
      <c r="L61" s="28" t="inlineStr">
        <is>
          <t>2026-10-17</t>
        </is>
      </c>
      <c r="M61" s="28" t="n"/>
      <c r="N61" s="28" t="n"/>
    </row>
    <row r="62" ht="90" customHeight="1" s="14">
      <c r="A62" s="28" t="inlineStr">
        <is>
          <t>G5</t>
        </is>
      </c>
      <c r="B62" s="28" t="inlineStr">
        <is>
          <t>Mint gates</t>
        </is>
      </c>
      <c r="C62" s="28" t="inlineStr">
        <is>
          <t>G5 — Durable custody and anti-rollback</t>
        </is>
      </c>
      <c r="D62" s="28" t="inlineStr">
        <is>
          <t>Phase 1 software</t>
        </is>
      </c>
      <c r="E62" s="28" t="inlineStr">
        <is>
          <t>High</t>
        </is>
      </c>
      <c r="F62" s="28" t="inlineStr">
        <is>
          <t>Open</t>
        </is>
      </c>
      <c r="G62" s="28" t="inlineStr">
        <is>
          <t>Unassigned</t>
        </is>
      </c>
      <c r="H62" s="28" t="inlineStr">
        <is>
          <t>See source gate dependencies</t>
        </is>
      </c>
      <c r="I62" s="28" t="inlineStr">
        <is>
          <t>S10 ordinary transactions/fsync are not a vault; Q54 needs atomic record/pool/counter and trustworthy boot restore</t>
        </is>
      </c>
      <c r="J62" s="28" t="inlineStr">
        <is>
          <t>Dedicated private transactional store and separate keys; external monotonic revision anchor vs Genesis-verified latest-state procedure. Recommend independent anchor where available / Select custody/backup/latest-state mechanism and actual durability boundary, prove crash cuts and corruption/rollback rejection. No permission to lose pool entries or resume calls</t>
        </is>
      </c>
      <c r="K62" s="28" t="inlineStr">
        <is>
          <t>docs/reviews/mint-phase1/open-issues.md</t>
        </is>
      </c>
      <c r="L62" s="28" t="inlineStr">
        <is>
          <t>2026-10-17</t>
        </is>
      </c>
      <c r="M62" s="28" t="n"/>
      <c r="N62" s="28" t="n"/>
    </row>
    <row r="63" ht="90" customHeight="1" s="14">
      <c r="A63" s="28" t="inlineStr">
        <is>
          <t>G6</t>
        </is>
      </c>
      <c r="B63" s="28" t="inlineStr">
        <is>
          <t>Mint gates</t>
        </is>
      </c>
      <c r="C63" s="28" t="inlineStr">
        <is>
          <t>G6 — Protected provisioning/administration</t>
        </is>
      </c>
      <c r="D63" s="28" t="inlineStr">
        <is>
          <t>Phase 1 software</t>
        </is>
      </c>
      <c r="E63" s="28" t="inlineStr">
        <is>
          <t>High</t>
        </is>
      </c>
      <c r="F63" s="28" t="inlineStr">
        <is>
          <t>Open</t>
        </is>
      </c>
      <c r="G63" s="28" t="inlineStr">
        <is>
          <t>Unassigned</t>
        </is>
      </c>
      <c r="H63" s="28" t="inlineStr">
        <is>
          <t>See source gate dependencies</t>
        </is>
      </c>
      <c r="I63" s="28" t="inlineStr">
        <is>
          <t>S09 verified HTTPS option but HTTP default and plaintext UART; board secure endpoint/key anchor unestablished</t>
        </is>
      </c>
      <c r="J63" s="28" t="inlineStr">
        <is>
          <t>Authenticated confidential end-to-end path recommended; alternative explicit physical-isolation custody model only with evidence. Neither is a runtime Forge transport yet / Approve trust anchors/key custody, authenticated Genesis authorization and board receipt protocol; demonstrate secret-safe boot/debug/reset and runtime store exchange</t>
        </is>
      </c>
      <c r="K63" s="28" t="inlineStr">
        <is>
          <t>docs/reviews/mint-phase1/open-issues.md</t>
        </is>
      </c>
      <c r="L63" s="28" t="inlineStr">
        <is>
          <t>2026-10-17</t>
        </is>
      </c>
      <c r="M63" s="28" t="n"/>
      <c r="N63" s="28" t="n"/>
    </row>
    <row r="64" ht="90" customHeight="1" s="14">
      <c r="A64" s="28" t="inlineStr">
        <is>
          <t>G7</t>
        </is>
      </c>
      <c r="B64" s="28" t="inlineStr">
        <is>
          <t>Mint gates</t>
        </is>
      </c>
      <c r="C64" s="28" t="inlineStr">
        <is>
          <t>G7 — Identity/type/layout/allocator binding</t>
        </is>
      </c>
      <c r="D64" s="28" t="inlineStr">
        <is>
          <t>Phase 1 software</t>
        </is>
      </c>
      <c r="E64" s="28" t="inlineStr">
        <is>
          <t>High</t>
        </is>
      </c>
      <c r="F64" s="28" t="inlineStr">
        <is>
          <t>Open</t>
        </is>
      </c>
      <c r="G64" s="28" t="inlineStr">
        <is>
          <t>Unassigned</t>
        </is>
      </c>
      <c r="H64" s="28" t="inlineStr">
        <is>
          <t>See source gate dependencies</t>
        </is>
      </c>
      <c r="I64" s="28" t="inlineStr">
        <is>
          <t>S01 Boot.Namespace role vs S11 Boot.NS seed; Q06 assigned-Owner policy vs legacy Abstract users; free/retired entry representation and virtualGT unresolved</t>
        </is>
      </c>
      <c r="J64" s="28" t="inlineStr">
        <is>
          <t>Bind Boot to exact approved configuration self-entry, not new name. Configuration-scoped incarnation registry proposed; local T===GT. Reject virtual/non-memory objects until explicit binding exists. Typed validators and retained slot-history records / Engineering exact packing/allocator/zeroing fixtures and resource measurement. Approve identity-lifecycle/compatibility changes and final capacities; do not reopen initial empty targets or change residency</t>
        </is>
      </c>
      <c r="K64" s="28" t="inlineStr">
        <is>
          <t>docs/reviews/mint-phase1/open-issues.md</t>
        </is>
      </c>
      <c r="L64" s="28" t="inlineStr">
        <is>
          <t>2026-10-17</t>
        </is>
      </c>
      <c r="M64" s="28" t="n"/>
      <c r="N64" s="28" t="n"/>
    </row>
    <row r="65" ht="90" customHeight="1" s="14">
      <c r="A65" s="28" t="inlineStr">
        <is>
          <t>G8</t>
        </is>
      </c>
      <c r="B65" s="28" t="inlineStr">
        <is>
          <t>Mint gates</t>
        </is>
      </c>
      <c r="C65" s="28" t="inlineStr">
        <is>
          <t>G8 — Diagnostic and release evidence</t>
        </is>
      </c>
      <c r="D65" s="28" t="inlineStr">
        <is>
          <t>Phase 1 software</t>
        </is>
      </c>
      <c r="E65" s="28" t="inlineStr">
        <is>
          <t>High</t>
        </is>
      </c>
      <c r="F65" s="28" t="inlineStr">
        <is>
          <t>Open</t>
        </is>
      </c>
      <c r="G65" s="28" t="inlineStr">
        <is>
          <t>Unassigned</t>
        </is>
      </c>
      <c r="H65" s="28" t="inlineStr">
        <is>
          <t>See source gate dependencies</t>
        </is>
      </c>
      <c r="I65" s="28" t="inlineStr">
        <is>
          <t>S04 HARDFAULT emission disabled; map verifier has empty production trust pins; old tests cover narrow paths</t>
        </is>
      </c>
      <c r="J65" s="28" t="inlineStr">
        <is>
          <t>Reuse existing wider Phase 1 map/target qualification work, not a second standalone candidate investigation / Binding/key approval and exact-site provenance; JS/RTL/generated/exact-build/physical acceptance separately recorded. Any Genesis override must name missing evidence and scope</t>
        </is>
      </c>
      <c r="K65" s="28" t="inlineStr">
        <is>
          <t>docs/reviews/mint-phase1/open-issues.md</t>
        </is>
      </c>
      <c r="L65" s="28" t="inlineStr">
        <is>
          <t>2026-10-17</t>
        </is>
      </c>
      <c r="M65" s="28" t="n"/>
      <c r="N65" s="28" t="n"/>
    </row>
    <row r="66" ht="90" customHeight="1" s="14">
      <c r="A66" s="28" t="inlineStr">
        <is>
          <t>SPEC-01</t>
        </is>
      </c>
      <c r="B66" s="28" t="inlineStr">
        <is>
          <t>Specification</t>
        </is>
      </c>
      <c r="C66" s="28" t="inlineStr">
        <is>
          <t>Approved Master ISA and acceptance structure</t>
        </is>
      </c>
      <c r="D66" s="28" t="inlineStr">
        <is>
          <t>Phase 1 assurance</t>
        </is>
      </c>
      <c r="E66" s="28" t="inlineStr">
        <is>
          <t>High</t>
        </is>
      </c>
      <c r="F66" s="28" t="inlineStr">
        <is>
          <t>Complete</t>
        </is>
      </c>
      <c r="G66" s="28" t="inlineStr">
        <is>
          <t>Unassigned</t>
        </is>
      </c>
      <c r="H66" s="28" t="inlineStr"/>
      <c r="I66" s="28" t="inlineStr">
        <is>
          <t>Documentation exists; does not imply implementation conformance.</t>
        </is>
      </c>
      <c r="J66" s="28" t="inlineStr">
        <is>
          <t>Retain approved decisions and separate H01-H20 from S01-S07.</t>
        </is>
      </c>
      <c r="K66" s="28" t="inlineStr">
        <is>
          <t>docs/phase-1/01-isa/instruction-set.md</t>
        </is>
      </c>
      <c r="L66" s="28" t="inlineStr">
        <is>
          <t>2026-10-17</t>
        </is>
      </c>
      <c r="M66" s="28" t="n"/>
      <c r="N66" s="28" t="n"/>
    </row>
    <row r="67" ht="90" customHeight="1" s="14">
      <c r="A67" s="28" t="inlineStr">
        <is>
          <t>SPEC-02</t>
        </is>
      </c>
      <c r="B67" s="28" t="inlineStr">
        <is>
          <t>Specification</t>
        </is>
      </c>
      <c r="C67" s="28" t="inlineStr">
        <is>
          <t>Close remaining instruction oracles</t>
        </is>
      </c>
      <c r="D67" s="28" t="inlineStr">
        <is>
          <t>Phase 1 assurance</t>
        </is>
      </c>
      <c r="E67" s="28" t="inlineStr">
        <is>
          <t>High</t>
        </is>
      </c>
      <c r="F67" s="28" t="inlineStr">
        <is>
          <t>Open</t>
        </is>
      </c>
      <c r="G67" s="28" t="inlineStr">
        <is>
          <t>Unassigned</t>
        </is>
      </c>
      <c r="H67" s="28" t="inlineStr"/>
      <c r="I67" s="28" t="inlineStr">
        <is>
          <t>NV/reserved fields, shifts, TPERM, protected frames/Lambda and fault precedence remain explicit gaps.</t>
        </is>
      </c>
      <c r="J67" s="28" t="inlineStr">
        <is>
          <t>Approve independent expected words, flags, effects and faults before full conformance claims.</t>
        </is>
      </c>
      <c r="K67" s="28" t="inlineStr">
        <is>
          <t>docs/phase-1/01-isa/instruction-set.md</t>
        </is>
      </c>
      <c r="L67" s="28" t="inlineStr">
        <is>
          <t>2026-10-17</t>
        </is>
      </c>
      <c r="M67" s="28" t="n"/>
      <c r="N67" s="28" t="n"/>
    </row>
    <row r="68" ht="90" customHeight="1" s="14">
      <c r="A68" s="28" t="inlineStr">
        <is>
          <t>IDE-01</t>
        </is>
      </c>
      <c r="B68" s="28" t="inlineStr">
        <is>
          <t>IDE</t>
        </is>
      </c>
      <c r="C68" s="28" t="inlineStr">
        <is>
          <t>Additive Amobea and Thread design workspace</t>
        </is>
      </c>
      <c r="D68" s="28" t="inlineStr">
        <is>
          <t>Phase 1 assurance</t>
        </is>
      </c>
      <c r="E68" s="28" t="inlineStr">
        <is>
          <t>High</t>
        </is>
      </c>
      <c r="F68" s="28" t="inlineStr">
        <is>
          <t>Needs verification</t>
        </is>
      </c>
      <c r="G68" s="28" t="inlineStr">
        <is>
          <t>Unassigned</t>
        </is>
      </c>
      <c r="H68" s="28" t="inlineStr"/>
      <c r="I68" s="28" t="inlineStr">
        <is>
          <t>Integrated views exist; integrated acceptance is not re-run here.</t>
        </is>
      </c>
      <c r="J68" s="28" t="inlineStr">
        <is>
          <t>Verify navigation, retained drafts and no replacement of existing IDE tools.</t>
        </is>
      </c>
      <c r="K68" s="28" t="inlineStr">
        <is>
          <t>simulator/amobea/README.md</t>
        </is>
      </c>
      <c r="L68" s="28" t="inlineStr">
        <is>
          <t>2026-10-17</t>
        </is>
      </c>
      <c r="M68" s="28" t="n"/>
      <c r="N68" s="28" t="n"/>
    </row>
    <row r="69" ht="90" customHeight="1" s="14">
      <c r="A69" s="28" t="inlineStr">
        <is>
          <t>IDE-02</t>
        </is>
      </c>
      <c r="B69" s="28" t="inlineStr">
        <is>
          <t>IDE</t>
        </is>
      </c>
      <c r="C69" s="28" t="inlineStr">
        <is>
          <t>Safe editor save, revision and buffer ownership</t>
        </is>
      </c>
      <c r="D69" s="28" t="inlineStr">
        <is>
          <t>Phase 1 assurance</t>
        </is>
      </c>
      <c r="E69" s="28" t="inlineStr">
        <is>
          <t>High</t>
        </is>
      </c>
      <c r="F69" s="28" t="inlineStr">
        <is>
          <t>Needs verification</t>
        </is>
      </c>
      <c r="G69" s="28" t="inlineStr">
        <is>
          <t>Unassigned</t>
        </is>
      </c>
      <c r="H69" s="28" t="inlineStr"/>
      <c r="I69" s="28" t="inlineStr">
        <is>
          <t>Workflow snapshot reports editor-roundtrip failures; root cause/current reproducibility not established.</t>
        </is>
      </c>
      <c r="J69" s="28" t="inlineStr">
        <is>
          <t>Reproduce isolated failures; verify create/edit/save, delayed responses, history and draft preservation.</t>
        </is>
      </c>
      <c r="K69" s="28" t="inlineStr">
        <is>
          <t>simulator/test_editor_roundtrip.js</t>
        </is>
      </c>
      <c r="L69" s="28" t="inlineStr">
        <is>
          <t>2026-10-17</t>
        </is>
      </c>
      <c r="M69" s="28" t="n"/>
      <c r="N69" s="28" t="n"/>
    </row>
    <row r="70" ht="90" customHeight="1" s="14">
      <c r="A70" s="28" t="inlineStr">
        <is>
          <t>IDE-03</t>
        </is>
      </c>
      <c r="B70" s="28" t="inlineStr">
        <is>
          <t>IDE</t>
        </is>
      </c>
      <c r="C70" s="28" t="inlineStr">
        <is>
          <t>Namespace editor persistence and boot selection</t>
        </is>
      </c>
      <c r="D70" s="28" t="inlineStr">
        <is>
          <t>Phase 1 assurance</t>
        </is>
      </c>
      <c r="E70" s="28" t="inlineStr">
        <is>
          <t>High</t>
        </is>
      </c>
      <c r="F70" s="28" t="inlineStr">
        <is>
          <t>Complete</t>
        </is>
      </c>
      <c r="G70" s="28" t="inlineStr">
        <is>
          <t>Unassigned</t>
        </is>
      </c>
      <c r="H70" s="28" t="inlineStr"/>
      <c r="I70" s="28" t="inlineStr">
        <is>
          <t>Verified: 35 extracted-route tests; 4 real isolated endpoint acceptance tests; browser cancellation/resident save-reload/stale-tab checks, then targeted passing boot and incomplete-design follow-up after exact-revision UI repair. Complete saved rows/layout/identity and protected hashes checked; all 1,280 live files byte-identical. No runtime integrity checks weakened.</t>
        </is>
      </c>
      <c r="J70" s="28" t="inlineStr">
        <is>
          <t>Verify save/reload, resident selection and boot entry without silent layout/identity changes.</t>
        </is>
      </c>
      <c r="K70" s="28" t="inlineStr">
        <is>
          <t>server/lumps/ns-state.json</t>
        </is>
      </c>
      <c r="L70" s="28" t="inlineStr">
        <is>
          <t>2026-10-17</t>
        </is>
      </c>
      <c r="M70" s="28" t="inlineStr">
        <is>
          <t>docs/reviews/phase1-baseline/namespace-authority-progress.md#final-closure-evidence; scripts/run_namespace_save_acceptance.py; tests/e2e/namespace_save_acceptance.spec.js</t>
        </is>
      </c>
      <c r="N70" s="28" t="n"/>
    </row>
    <row r="71" ht="90" customHeight="1" s="14">
      <c r="A71" s="28" t="inlineStr">
        <is>
          <t>IDE-04</t>
        </is>
      </c>
      <c r="B71" s="28" t="inlineStr">
        <is>
          <t>IDE</t>
        </is>
      </c>
      <c r="C71" s="28" t="inlineStr">
        <is>
          <t>Actionable diagnostics and executed-artifact freshness</t>
        </is>
      </c>
      <c r="D71" s="28" t="inlineStr">
        <is>
          <t>Phase 1 assurance</t>
        </is>
      </c>
      <c r="E71" s="28" t="inlineStr">
        <is>
          <t>High</t>
        </is>
      </c>
      <c r="F71" s="28" t="inlineStr">
        <is>
          <t>Needs verification</t>
        </is>
      </c>
      <c r="G71" s="28" t="inlineStr">
        <is>
          <t>Unassigned</t>
        </is>
      </c>
      <c r="H71" s="28" t="inlineStr"/>
      <c r="I71" s="28" t="inlineStr">
        <is>
          <t>Selected-file errors now distinguish unreadable and changed bytes and provide a corrective action. Integrated UI and executed-artifact freshness still need verification.</t>
        </is>
      </c>
      <c r="J71" s="28" t="inlineStr">
        <is>
          <t>Show failed operation, actual reason, mutation state and corrective action; distinguish editor from executed bytes.</t>
        </is>
      </c>
      <c r="K71" s="28" t="inlineStr">
        <is>
          <t>simulator/test_execution_identity.js</t>
        </is>
      </c>
      <c r="L71" s="28" t="inlineStr">
        <is>
          <t>2026-10-17</t>
        </is>
      </c>
      <c r="M71" s="28" t="inlineStr">
        <is>
          <t>docs/reviews/phase1-baseline/namespace-authority-progress.md</t>
        </is>
      </c>
      <c r="N71" s="28" t="n"/>
    </row>
    <row r="72" ht="90" customHeight="1" s="14">
      <c r="A72" s="28" t="inlineStr">
        <is>
          <t>IDE-05</t>
        </is>
      </c>
      <c r="B72" s="28" t="inlineStr">
        <is>
          <t>IDE</t>
        </is>
      </c>
      <c r="C72" s="28" t="inlineStr">
        <is>
          <t>Hardware controls and causal command acknowledgement</t>
        </is>
      </c>
      <c r="D72" s="28" t="inlineStr">
        <is>
          <t>Phase 1 assurance</t>
        </is>
      </c>
      <c r="E72" s="28" t="inlineStr">
        <is>
          <t>High</t>
        </is>
      </c>
      <c r="F72" s="28" t="inlineStr">
        <is>
          <t>Needs verification</t>
        </is>
      </c>
      <c r="G72" s="28" t="inlineStr">
        <is>
          <t>Unassigned</t>
        </is>
      </c>
      <c r="H72" s="28" t="inlineStr"/>
      <c r="I72" s="28" t="inlineStr">
        <is>
          <t>Control/relay implementation exists; snapshot alone does not prove requested board action.</t>
        </is>
      </c>
      <c r="J72" s="28" t="inlineStr">
        <is>
          <t>Validate request-correlated acknowledgement, stale reconnect rejection, fault halt and simulator/board separation.</t>
        </is>
      </c>
      <c r="K72" s="28" t="inlineStr">
        <is>
          <t>tests/server/test_wukong_command_delivery.py</t>
        </is>
      </c>
      <c r="L72" s="28" t="inlineStr">
        <is>
          <t>2026-10-17</t>
        </is>
      </c>
      <c r="M72" s="28" t="n"/>
      <c r="N72" s="28" t="n"/>
    </row>
    <row r="73" ht="90" customHeight="1" s="14">
      <c r="A73" s="28" t="inlineStr">
        <is>
          <t>IDE-06</t>
        </is>
      </c>
      <c r="B73" s="28" t="inlineStr">
        <is>
          <t>IDE</t>
        </is>
      </c>
      <c r="C73" s="28" t="inlineStr">
        <is>
          <t>Reference and compiler capability documentation agreement</t>
        </is>
      </c>
      <c r="D73" s="28" t="inlineStr">
        <is>
          <t>Phase 1 assurance</t>
        </is>
      </c>
      <c r="E73" s="28" t="inlineStr">
        <is>
          <t>High</t>
        </is>
      </c>
      <c r="F73" s="28" t="inlineStr">
        <is>
          <t>Needs verification</t>
        </is>
      </c>
      <c r="G73" s="28" t="inlineStr">
        <is>
          <t>Unassigned</t>
        </is>
      </c>
      <c r="H73" s="28" t="inlineStr"/>
      <c r="I73" s="28" t="inlineStr">
        <is>
          <t>Workflow snapshot flags API-reference and capability-block checks; not freshly reproduced.</t>
        </is>
      </c>
      <c r="J73" s="28" t="inlineStr">
        <is>
          <t>Reconcile approved ISA, compiler forms, reference search and examples; retain explicit historical distinctions.</t>
        </is>
      </c>
      <c r="K73" s="28" t="inlineStr">
        <is>
          <t>docs/phase-1/01-isa/instruction-set.md</t>
        </is>
      </c>
      <c r="L73" s="28" t="inlineStr">
        <is>
          <t>2026-10-17</t>
        </is>
      </c>
      <c r="M73" s="28" t="inlineStr">
        <is>
          <t>BASE-08: docs/reviews/phase1-baseline/README.md</t>
        </is>
      </c>
      <c r="N73" s="28" t="n"/>
    </row>
    <row r="74" ht="90" customHeight="1" s="14">
      <c r="A74" s="28" t="inlineStr">
        <is>
          <t>FUNC-01</t>
        </is>
      </c>
      <c r="B74" s="28" t="inlineStr">
        <is>
          <t>Missing functions</t>
        </is>
      </c>
      <c r="C74" s="28" t="inlineStr">
        <is>
          <t>Authenticated original requester and live-use query</t>
        </is>
      </c>
      <c r="D74" s="28" t="inlineStr">
        <is>
          <t>Phase 1 assurance</t>
        </is>
      </c>
      <c r="E74" s="28" t="inlineStr">
        <is>
          <t>High</t>
        </is>
      </c>
      <c r="F74" s="28" t="inlineStr">
        <is>
          <t>Blocked</t>
        </is>
      </c>
      <c r="G74" s="28" t="inlineStr">
        <is>
          <t>Unassigned</t>
        </is>
      </c>
      <c r="H74" s="28" t="inlineStr">
        <is>
          <t>G2; G3; G6</t>
        </is>
      </c>
      <c r="I74" s="28" t="inlineStr">
        <is>
          <t>No demonstrated legal service interface; protected frames do not grant software read authority.</t>
        </is>
      </c>
      <c r="J74" s="28" t="inlineStr">
        <is>
          <t>Approve and implement bounded attestation/traversal; no host callStack or widened heap workaround.</t>
        </is>
      </c>
      <c r="K74" s="28" t="inlineStr">
        <is>
          <t>docs/reviews/mint-phase1/context-feasibility.md</t>
        </is>
      </c>
      <c r="L74" s="28" t="inlineStr">
        <is>
          <t>2026-10-17</t>
        </is>
      </c>
      <c r="M74" s="28" t="n"/>
      <c r="N74" s="28" t="n"/>
    </row>
    <row r="75" ht="90" customHeight="1" s="14">
      <c r="A75" s="28" t="inlineStr">
        <is>
          <t>FUNC-02</t>
        </is>
      </c>
      <c r="B75" s="28" t="inlineStr">
        <is>
          <t>Missing functions</t>
        </is>
      </c>
      <c r="C75" s="28" t="inlineStr">
        <is>
          <t>Same-scope Lambda entry and capability-result path</t>
        </is>
      </c>
      <c r="D75" s="28" t="inlineStr">
        <is>
          <t>Phase 1 assurance</t>
        </is>
      </c>
      <c r="E75" s="28" t="inlineStr">
        <is>
          <t>High</t>
        </is>
      </c>
      <c r="F75" s="28" t="inlineStr">
        <is>
          <t>Blocked</t>
        </is>
      </c>
      <c r="G75" s="28" t="inlineStr">
        <is>
          <t>Unassigned</t>
        </is>
      </c>
      <c r="H75" s="28" t="inlineStr">
        <is>
          <t>G1; SPEC-02</t>
        </is>
      </c>
      <c r="I75" s="28" t="inlineStr">
        <is>
          <t>G1 finds entry/continuation mismatch and unproven result authority.</t>
        </is>
      </c>
      <c r="J75" s="28" t="inlineStr">
        <is>
          <t>Resolve ISA contract; prove legal binding and result LOAD through real gates.</t>
        </is>
      </c>
      <c r="K75" s="28" t="inlineStr">
        <is>
          <t>docs/reviews/mint-phase1/context-feasibility.md</t>
        </is>
      </c>
      <c r="L75" s="28" t="inlineStr">
        <is>
          <t>2026-10-17</t>
        </is>
      </c>
      <c r="M75" s="28" t="n"/>
      <c r="N75" s="28" t="n"/>
    </row>
    <row r="76" ht="90" customHeight="1" s="14">
      <c r="A76" s="28" t="inlineStr">
        <is>
          <t>FUNC-03</t>
        </is>
      </c>
      <c r="B76" s="28" t="inlineStr">
        <is>
          <t>Missing functions</t>
        </is>
      </c>
      <c r="C76" s="28" t="inlineStr">
        <is>
          <t>Tuple allocation and callable record lifecycle</t>
        </is>
      </c>
      <c r="D76" s="28" t="inlineStr">
        <is>
          <t>Phase 1 assurance</t>
        </is>
      </c>
      <c r="E76" s="28" t="inlineStr">
        <is>
          <t>High</t>
        </is>
      </c>
      <c r="F76" s="28" t="inlineStr">
        <is>
          <t>Needs verification</t>
        </is>
      </c>
      <c r="G76" s="28" t="inlineStr">
        <is>
          <t>Unassigned</t>
        </is>
      </c>
      <c r="H76" s="28" t="inlineStr"/>
      <c r="I76" s="28" t="inlineStr">
        <is>
          <t>58-word demonstration ABI and methods exist; not a new privacy mechanism.</t>
        </is>
      </c>
      <c r="J76" s="28" t="inlineStr">
        <is>
          <t>Verify allocation, bounds, permission revocation, malformed text and release/reuse with separate Threads for isolation.</t>
        </is>
      </c>
      <c r="K76" s="28" t="inlineStr">
        <is>
          <t>simulator/thread-heap-record.js</t>
        </is>
      </c>
      <c r="L76" s="28" t="inlineStr">
        <is>
          <t>2026-10-17</t>
        </is>
      </c>
      <c r="M76" s="28" t="n"/>
      <c r="N76" s="28" t="n"/>
    </row>
    <row r="77" ht="90" customHeight="1" s="14">
      <c r="A77" s="28" t="inlineStr">
        <is>
          <t>FUNC-04</t>
        </is>
      </c>
      <c r="B77" s="28" t="inlineStr">
        <is>
          <t>Missing functions</t>
        </is>
      </c>
      <c r="C77" s="28" t="inlineStr">
        <is>
          <t>Dijkstra messages between isolated Threads</t>
        </is>
      </c>
      <c r="D77" s="28" t="inlineStr">
        <is>
          <t>Phase 1 assurance</t>
        </is>
      </c>
      <c r="E77" s="28" t="inlineStr">
        <is>
          <t>High</t>
        </is>
      </c>
      <c r="F77" s="28" t="inlineStr">
        <is>
          <t>Open</t>
        </is>
      </c>
      <c r="G77" s="28" t="inlineStr">
        <is>
          <t>Unassigned</t>
        </is>
      </c>
      <c r="H77" s="28" t="inlineStr"/>
      <c r="I77" s="28" t="inlineStr">
        <is>
          <t>Required communication direction; operational protocol/ABI is not demonstrated by the tuple lab.</t>
        </is>
      </c>
      <c r="J77" s="28" t="inlineStr">
        <is>
          <t>Define and approve capability-authorized send/receive, ownership, lifetime and fault semantics; test delivery.</t>
        </is>
      </c>
      <c r="K77" s="28" t="inlineStr">
        <is>
          <t>docs/phase-1/Amobea-V1.md</t>
        </is>
      </c>
      <c r="L77" s="28" t="inlineStr">
        <is>
          <t>2026-10-17</t>
        </is>
      </c>
      <c r="M77" s="28" t="n"/>
      <c r="N77" s="28" t="n"/>
    </row>
    <row r="78" ht="90" customHeight="1" s="14">
      <c r="A78" s="28" t="inlineStr">
        <is>
          <t>FUNC-05</t>
        </is>
      </c>
      <c r="B78" s="28" t="inlineStr">
        <is>
          <t>Missing functions</t>
        </is>
      </c>
      <c r="C78" s="28" t="inlineStr">
        <is>
          <t>Continuation capture and one-shot checkpoint restore</t>
        </is>
      </c>
      <c r="D78" s="28" t="inlineStr">
        <is>
          <t>Phase 1 assurance</t>
        </is>
      </c>
      <c r="E78" s="28" t="inlineStr">
        <is>
          <t>High</t>
        </is>
      </c>
      <c r="F78" s="28" t="inlineStr">
        <is>
          <t>Blocked</t>
        </is>
      </c>
      <c r="G78" s="28" t="inlineStr">
        <is>
          <t>Unassigned</t>
        </is>
      </c>
      <c r="H78" s="28" t="inlineStr"/>
      <c r="I78" s="28" t="inlineStr">
        <is>
          <t>Design contract remains gated; external effects must not be replayed by heap rollback.</t>
        </is>
      </c>
      <c r="J78" s="28" t="inlineStr">
        <is>
          <t>Approve capture/restore scope, consumption identity and reset rules; test reuse/copy rejection.</t>
        </is>
      </c>
      <c r="K78" s="28" t="inlineStr">
        <is>
          <t>docs/phase-1/Amobea-V1.md</t>
        </is>
      </c>
      <c r="L78" s="28" t="inlineStr">
        <is>
          <t>2026-10-17</t>
        </is>
      </c>
      <c r="M78" s="28" t="n"/>
      <c r="N78" s="28" t="n"/>
    </row>
    <row r="79" ht="90" customHeight="1" s="14">
      <c r="A79" s="28" t="inlineStr">
        <is>
          <t>FUNC-06</t>
        </is>
      </c>
      <c r="B79" s="28" t="inlineStr">
        <is>
          <t>Missing functions</t>
        </is>
      </c>
      <c r="C79" s="28" t="inlineStr">
        <is>
          <t>Protected Thread running ownership</t>
        </is>
      </c>
      <c r="D79" s="28" t="inlineStr">
        <is>
          <t>Phase 1 assurance</t>
        </is>
      </c>
      <c r="E79" s="28" t="inlineStr">
        <is>
          <t>High</t>
        </is>
      </c>
      <c r="F79" s="28" t="inlineStr">
        <is>
          <t>Blocked</t>
        </is>
      </c>
      <c r="G79" s="28" t="inlineStr">
        <is>
          <t>Unassigned</t>
        </is>
      </c>
      <c r="H79" s="28" t="inlineStr"/>
      <c r="I79" s="28" t="inlineStr">
        <is>
          <t>Live bit 13 remains proposed; saved-frame bit 13 is NIA, not ownership.</t>
        </is>
      </c>
      <c r="J79" s="28" t="inlineStr">
        <is>
          <t>Approve placement and all writer/validator changes; prove every activation path and self-target behavior.</t>
        </is>
      </c>
      <c r="K79" s="28" t="inlineStr">
        <is>
          <t>docs/phase-1/Amobea-V1.md</t>
        </is>
      </c>
      <c r="L79" s="28" t="inlineStr">
        <is>
          <t>2026-10-17</t>
        </is>
      </c>
      <c r="M79" s="28" t="n"/>
      <c r="N79" s="28" t="n"/>
    </row>
    <row r="80" ht="90" customHeight="1" s="14">
      <c r="A80" s="28" t="inlineStr">
        <is>
          <t>FUNC-07</t>
        </is>
      </c>
      <c r="B80" s="28" t="inlineStr">
        <is>
          <t>Missing functions</t>
        </is>
      </c>
      <c r="C80" s="28" t="inlineStr">
        <is>
          <t>Reprogrammable startup breakout and application admission</t>
        </is>
      </c>
      <c r="D80" s="28" t="inlineStr">
        <is>
          <t>Phase 1 assurance</t>
        </is>
      </c>
      <c r="E80" s="28" t="inlineStr">
        <is>
          <t>High</t>
        </is>
      </c>
      <c r="F80" s="28" t="inlineStr">
        <is>
          <t>Open</t>
        </is>
      </c>
      <c r="G80" s="28" t="inlineStr">
        <is>
          <t>Unassigned</t>
        </is>
      </c>
      <c r="H80" s="28" t="inlineStr"/>
      <c r="I80" s="28" t="inlineStr">
        <is>
          <t>Startup diagnostics must allow open-ended checked handoff; not approval of live lazy loading.</t>
        </is>
      </c>
      <c r="J80" s="28" t="inlineStr">
        <is>
          <t>Specify target-selection authority and stopped resident delivery/activation; separate Phase 2 networking.</t>
        </is>
      </c>
      <c r="K80" s="28" t="inlineStr">
        <is>
          <t>docs/phase-1/04-release/isa-to-fpga-alignment-plan.md</t>
        </is>
      </c>
      <c r="L80" s="28" t="inlineStr">
        <is>
          <t>2026-10-17</t>
        </is>
      </c>
      <c r="M80" s="28" t="n"/>
      <c r="N80" s="28" t="n"/>
    </row>
    <row r="81" ht="90" customHeight="1" s="14">
      <c r="A81" s="28" t="inlineStr">
        <is>
          <t>SEAL-01</t>
        </is>
      </c>
      <c r="B81" s="28" t="inlineStr">
        <is>
          <t>Seal storage</t>
        </is>
      </c>
      <c r="C81" s="28" t="inlineStr">
        <is>
          <t>Define authoritative seal storage and lifetime</t>
        </is>
      </c>
      <c r="D81" s="28" t="inlineStr">
        <is>
          <t>Phase 1 assurance</t>
        </is>
      </c>
      <c r="E81" s="28" t="inlineStr">
        <is>
          <t>High</t>
        </is>
      </c>
      <c r="F81" s="28" t="inlineStr">
        <is>
          <t>Open</t>
        </is>
      </c>
      <c r="G81" s="28" t="inlineStr">
        <is>
          <t>Unassigned</t>
        </is>
      </c>
      <c r="H81" s="28" t="inlineStr"/>
      <c r="I81" s="28" t="inlineStr">
        <is>
          <t>Dedicated completeness item requested by Genesis; exact storage contract requires reconciliation, not an assumed missing implementation.</t>
        </is>
      </c>
      <c r="J81" s="28" t="inlineStr">
        <is>
          <t>Specify which seals, algorithm/meaning, trusted writer, location, access, retention and version binding; distinguish hashes, integrity32 and secret proofs.</t>
        </is>
      </c>
      <c r="K81" s="28" t="inlineStr">
        <is>
          <t>docs/reviews/mint-phase1/security.md</t>
        </is>
      </c>
      <c r="L81" s="28" t="inlineStr">
        <is>
          <t>2026-10-17</t>
        </is>
      </c>
      <c r="M81" s="28" t="n"/>
      <c r="N81" s="28" t="n"/>
    </row>
    <row r="82" ht="90" customHeight="1" s="14">
      <c r="A82" s="28" t="inlineStr">
        <is>
          <t>SEAL-02</t>
        </is>
      </c>
      <c r="B82" s="28" t="inlineStr">
        <is>
          <t>Seal storage</t>
        </is>
      </c>
      <c r="C82" s="28" t="inlineStr">
        <is>
          <t>Bind seal to exact artifact and destination identity</t>
        </is>
      </c>
      <c r="D82" s="28" t="inlineStr">
        <is>
          <t>Phase 1 assurance</t>
        </is>
      </c>
      <c r="E82" s="28" t="inlineStr">
        <is>
          <t>High</t>
        </is>
      </c>
      <c r="F82" s="28" t="inlineStr">
        <is>
          <t>Needs verification</t>
        </is>
      </c>
      <c r="G82" s="28" t="inlineStr">
        <is>
          <t>Unassigned</t>
        </is>
      </c>
      <c r="H82" s="28" t="inlineStr"/>
      <c r="I82" s="28" t="inlineStr">
        <is>
          <t>Exact-byte checks retained independently of catalog status; pending bytes, changed files and immutable local derivatives tested. Full seal/replay/field coverage not established.</t>
        </is>
      </c>
      <c r="J82" s="28" t="inlineStr">
        <is>
          <t>Reject tampering, stale/replayed seals and mismatched artifact/slot/generation; prove every covered field and permitted F/G mutation.</t>
        </is>
      </c>
      <c r="K82" s="28" t="inlineStr">
        <is>
          <t>docs/reviews/mint-phase1/namespace-update.md</t>
        </is>
      </c>
      <c r="L82" s="28" t="inlineStr">
        <is>
          <t>2026-10-17</t>
        </is>
      </c>
      <c r="M82" s="28" t="inlineStr">
        <is>
          <t>BASE-03: docs/reviews/phase1-baseline/README.md; docs/reviews/phase1-baseline/namespace-authority-progress.md</t>
        </is>
      </c>
      <c r="N82" s="28" t="n"/>
    </row>
    <row r="83" ht="90" customHeight="1" s="14">
      <c r="A83" s="28" t="inlineStr">
        <is>
          <t>SEAL-03</t>
        </is>
      </c>
      <c r="B83" s="28" t="inlineStr">
        <is>
          <t>Seal storage</t>
        </is>
      </c>
      <c r="C83" s="28" t="inlineStr">
        <is>
          <t>Atomic seal/data publication and reset containment</t>
        </is>
      </c>
      <c r="D83" s="28" t="inlineStr">
        <is>
          <t>Phase 1 assurance</t>
        </is>
      </c>
      <c r="E83" s="28" t="inlineStr">
        <is>
          <t>High</t>
        </is>
      </c>
      <c r="F83" s="28" t="inlineStr">
        <is>
          <t>Open</t>
        </is>
      </c>
      <c r="G83" s="28" t="inlineStr">
        <is>
          <t>Unassigned</t>
        </is>
      </c>
      <c r="H83" s="28" t="inlineStr"/>
      <c r="I83" s="28" t="inlineStr">
        <is>
          <t>A successful checksum comparison does not prove exclusion or durable commit.</t>
        </is>
      </c>
      <c r="J83" s="28" t="inlineStr">
        <is>
          <t>Inject interruptions between data/seal writes; no partial or stale authority usable after reset; no implicit retry/rollback.</t>
        </is>
      </c>
      <c r="K83" s="28" t="inlineStr">
        <is>
          <t>docs/reviews/mint-phase1/namespace-update.md</t>
        </is>
      </c>
      <c r="L83" s="28" t="inlineStr">
        <is>
          <t>2026-10-17</t>
        </is>
      </c>
      <c r="M83" s="28" t="n"/>
      <c r="N83" s="28" t="n"/>
    </row>
    <row r="84" ht="90" customHeight="1" s="14">
      <c r="A84" s="28" t="inlineStr">
        <is>
          <t>SEAL-04</t>
        </is>
      </c>
      <c r="B84" s="28" t="inlineStr">
        <is>
          <t>Seal storage</t>
        </is>
      </c>
      <c r="C84" s="28" t="inlineStr">
        <is>
          <t>Protected proof/key custody, backup and revocation</t>
        </is>
      </c>
      <c r="D84" s="28" t="inlineStr">
        <is>
          <t>Phase 1 assurance</t>
        </is>
      </c>
      <c r="E84" s="28" t="inlineStr">
        <is>
          <t>High</t>
        </is>
      </c>
      <c r="F84" s="28" t="inlineStr">
        <is>
          <t>Blocked</t>
        </is>
      </c>
      <c r="G84" s="28" t="inlineStr">
        <is>
          <t>Unassigned</t>
        </is>
      </c>
      <c r="H84" s="28" t="inlineStr">
        <is>
          <t>G5; G6</t>
        </is>
      </c>
      <c r="I84" s="28" t="inlineStr">
        <is>
          <t>G5/G6 open; public seals must not be confused with secret 128-bit proofs.</t>
        </is>
      </c>
      <c r="J84" s="28" t="inlineStr">
        <is>
          <t>Prove access isolation, confidential provisioning, atomic pool/ID/credential commit, anti-rollback and safe restoration.</t>
        </is>
      </c>
      <c r="K84" s="28" t="inlineStr">
        <is>
          <t>docs/reviews/mint-phase1/persistence.md</t>
        </is>
      </c>
      <c r="L84" s="28" t="inlineStr">
        <is>
          <t>2026-10-17</t>
        </is>
      </c>
      <c r="M84" s="28" t="n"/>
      <c r="N84" s="28" t="n"/>
    </row>
    <row r="85" ht="90" customHeight="1" s="14">
      <c r="A85" s="28" t="inlineStr">
        <is>
          <t>SEAL-05</t>
        </is>
      </c>
      <c r="B85" s="28" t="inlineStr">
        <is>
          <t>Seal storage</t>
        </is>
      </c>
      <c r="C85" s="28" t="inlineStr">
        <is>
          <t>Storage fault detection versus authenticity</t>
        </is>
      </c>
      <c r="D85" s="28" t="inlineStr">
        <is>
          <t>Phase 1 assurance</t>
        </is>
      </c>
      <c r="E85" s="28" t="inlineStr">
        <is>
          <t>High</t>
        </is>
      </c>
      <c r="F85" s="28" t="inlineStr">
        <is>
          <t>Open</t>
        </is>
      </c>
      <c r="G85" s="28" t="inlineStr">
        <is>
          <t>Unassigned</t>
        </is>
      </c>
      <c r="H85" s="28" t="inlineStr"/>
      <c r="I85" s="28" t="inlineStr">
        <is>
          <t>No verified sideband SECDED coverage established here; integrity32 and UART CRC are not ECC.</t>
        </is>
      </c>
      <c r="J85" s="28" t="inlineStr">
        <is>
          <t>Record required storage fault coverage; any ECC design needs separate approval, preserves 32-bit GT and tests fault paths.</t>
        </is>
      </c>
      <c r="K85" s="28" t="inlineStr">
        <is>
          <t>hardware/hw_types.py</t>
        </is>
      </c>
      <c r="L85" s="28" t="inlineStr">
        <is>
          <t>2026-10-17</t>
        </is>
      </c>
      <c r="M85" s="28" t="n"/>
      <c r="N85" s="28" t="n"/>
    </row>
    <row r="86" ht="90" customHeight="1" s="14">
      <c r="A86" s="28" t="inlineStr">
        <is>
          <t>SIM-01</t>
        </is>
      </c>
      <c r="B86" s="28" t="inlineStr">
        <is>
          <t>Simulator / ISA</t>
        </is>
      </c>
      <c r="C86" s="28" t="inlineStr">
        <is>
          <t>Independent current-ISA encoding and operand conformance</t>
        </is>
      </c>
      <c r="D86" s="28" t="inlineStr">
        <is>
          <t>Phase 1 assurance</t>
        </is>
      </c>
      <c r="E86" s="28" t="inlineStr">
        <is>
          <t>High</t>
        </is>
      </c>
      <c r="F86" s="28" t="inlineStr">
        <is>
          <t>Needs verification</t>
        </is>
      </c>
      <c r="G86" s="28" t="inlineStr">
        <is>
          <t>Unassigned</t>
        </is>
      </c>
      <c r="H86" s="28" t="inlineStr"/>
      <c r="I86" s="28" t="inlineStr">
        <is>
          <t>Assembler workflow reports failure; simulator agreement alone is not an independent oracle.</t>
        </is>
      </c>
      <c r="J86" s="28" t="inlineStr">
        <is>
          <t>Use hand-encoded vectors for all forms, bounds, conditions, retired encodings and CR13 restrictions.</t>
        </is>
      </c>
      <c r="K86" s="28" t="inlineStr">
        <is>
          <t>docs/phase-1/01-isa/instruction-set.md</t>
        </is>
      </c>
      <c r="L86" s="28" t="inlineStr">
        <is>
          <t>2026-10-17</t>
        </is>
      </c>
      <c r="M86" s="28" t="inlineStr">
        <is>
          <t>BASE-01: docs/reviews/phase1-baseline/README.md; BASE-03: docs/reviews/phase1-baseline/README.md</t>
        </is>
      </c>
      <c r="N86" s="28" t="n"/>
    </row>
    <row r="87" ht="90" customHeight="1" s="14">
      <c r="A87" s="28" t="inlineStr">
        <is>
          <t>SIM-02</t>
        </is>
      </c>
      <c r="B87" s="28" t="inlineStr">
        <is>
          <t>Simulator / ISA</t>
        </is>
      </c>
      <c r="C87" s="28" t="inlineStr">
        <is>
          <t>CALL RETURN LAMBDA cross-layer compatibility</t>
        </is>
      </c>
      <c r="D87" s="28" t="inlineStr">
        <is>
          <t>Phase 1 assurance</t>
        </is>
      </c>
      <c r="E87" s="28" t="inlineStr">
        <is>
          <t>High</t>
        </is>
      </c>
      <c r="F87" s="28" t="inlineStr">
        <is>
          <t>Blocked</t>
        </is>
      </c>
      <c r="G87" s="28" t="inlineStr">
        <is>
          <t>Unassigned</t>
        </is>
      </c>
      <c r="H87" s="28" t="inlineStr"/>
      <c r="I87" s="28" t="inlineStr">
        <is>
          <t>Synthetic component evidence reproduces a Lambda mismatch; green gap probes are not conformance.</t>
        </is>
      </c>
      <c r="J87" s="28" t="inlineStr">
        <is>
          <t>Same-byte simulator and RTL cases must match approved entry, continuation, frame and capability effects.</t>
        </is>
      </c>
      <c r="K87" s="28" t="inlineStr">
        <is>
          <t>docs/reviews/mint-phase1/context-feasibility.md</t>
        </is>
      </c>
      <c r="L87" s="28" t="inlineStr">
        <is>
          <t>2026-10-17</t>
        </is>
      </c>
      <c r="M87" s="28" t="inlineStr">
        <is>
          <t>BASE-05: docs/reviews/phase1-baseline/README.md</t>
        </is>
      </c>
      <c r="N87" s="28" t="n"/>
    </row>
    <row r="88" ht="90" customHeight="1" s="14">
      <c r="A88" s="28" t="inlineStr">
        <is>
          <t>SIM-03</t>
        </is>
      </c>
      <c r="B88" s="28" t="inlineStr">
        <is>
          <t>Simulator / ISA</t>
        </is>
      </c>
      <c r="C88" s="28" t="inlineStr">
        <is>
          <t>CHANGE SWITCH boot and Namespace geometry</t>
        </is>
      </c>
      <c r="D88" s="28" t="inlineStr">
        <is>
          <t>Phase 1 assurance</t>
        </is>
      </c>
      <c r="E88" s="28" t="inlineStr">
        <is>
          <t>High</t>
        </is>
      </c>
      <c r="F88" s="28" t="inlineStr">
        <is>
          <t>Needs verification</t>
        </is>
      </c>
      <c r="G88" s="28" t="inlineStr">
        <is>
          <t>Unassigned</t>
        </is>
      </c>
      <c r="H88" s="28" t="inlineStr"/>
      <c r="I88" s="28" t="inlineStr">
        <is>
          <t>Fresh combined verification: resident addresses 1024/7872, complete body identity, Thread ranges, matching Step-2 placements and private simulation checks pass without xfail exemptions. This is image-generator evidence only; same-byte simulator/RTL instruction conformance remains unverified.</t>
        </is>
      </c>
      <c r="J88" s="28" t="inlineStr">
        <is>
          <t>Compare current ISA and simulator/RTL using immutable fixture identities and exact initial state.</t>
        </is>
      </c>
      <c r="K88" s="28" t="inlineStr">
        <is>
          <t>docs/phase-1/04-release/isa-to-fpga-alignment-plan.md</t>
        </is>
      </c>
      <c r="L88" s="28" t="inlineStr">
        <is>
          <t>2026-10-17</t>
        </is>
      </c>
      <c r="M88" s="28" t="inlineStr">
        <is>
          <t>BASE-04: docs/reviews/phase1-baseline/README.md; BASE-05: docs/reviews/phase1-baseline/README.md; docs/reviews/phase1-baseline/namespace-authority-progress.md#combined-post-merge-verification--17-october-2026</t>
        </is>
      </c>
      <c r="N88" s="28" t="n"/>
    </row>
    <row r="89" ht="90" customHeight="1" s="14">
      <c r="A89" s="28" t="inlineStr">
        <is>
          <t>SIM-04</t>
        </is>
      </c>
      <c r="B89" s="28" t="inlineStr">
        <is>
          <t>Simulator / ISA</t>
        </is>
      </c>
      <c r="C89" s="28" t="inlineStr">
        <is>
          <t>Watchdog and first-fault semantics</t>
        </is>
      </c>
      <c r="D89" s="28" t="inlineStr">
        <is>
          <t>Phase 1 assurance</t>
        </is>
      </c>
      <c r="E89" s="28" t="inlineStr">
        <is>
          <t>High</t>
        </is>
      </c>
      <c r="F89" s="28" t="inlineStr">
        <is>
          <t>Needs verification</t>
        </is>
      </c>
      <c r="G89" s="28" t="inlineStr">
        <is>
          <t>Unassigned</t>
        </is>
      </c>
      <c r="H89" s="28" t="inlineStr"/>
      <c r="I89" s="28" t="inlineStr">
        <is>
          <t>Elapsed board clocks cannot be inferred from browser step speed.</t>
        </is>
      </c>
      <c r="J89" s="28" t="inlineStr">
        <is>
          <t>Validate fault precedence and pre-recovery state; separate logical simulator checks from timed RTL/board proof.</t>
        </is>
      </c>
      <c r="K89" s="28" t="inlineStr">
        <is>
          <t>docs/phase-1/04-release/isa-to-fpga-alignment-plan.md</t>
        </is>
      </c>
      <c r="L89" s="28" t="inlineStr">
        <is>
          <t>2026-10-17</t>
        </is>
      </c>
      <c r="M89" s="28" t="n"/>
      <c r="N89" s="28" t="n"/>
    </row>
    <row r="90" ht="90" customHeight="1" s="14">
      <c r="A90" s="28" t="inlineStr">
        <is>
          <t>SIM-05</t>
        </is>
      </c>
      <c r="B90" s="28" t="inlineStr">
        <is>
          <t>Simulator / ISA</t>
        </is>
      </c>
      <c r="C90" s="28" t="inlineStr">
        <is>
          <t>Historical artifact adaptation provenance</t>
        </is>
      </c>
      <c r="D90" s="28" t="inlineStr">
        <is>
          <t>Phase 1 assurance</t>
        </is>
      </c>
      <c r="E90" s="28" t="inlineStr">
        <is>
          <t>High</t>
        </is>
      </c>
      <c r="F90" s="28" t="inlineStr">
        <is>
          <t>Needs verification</t>
        </is>
      </c>
      <c r="G90" s="28" t="inlineStr">
        <is>
          <t>Unassigned</t>
        </is>
      </c>
      <c r="H90" s="28" t="inlineStr"/>
      <c r="I90" s="28" t="inlineStr">
        <is>
          <t>Alice/Mallory fixtures adapt old code in isolated RAM; originals remain immutable.</t>
        </is>
      </c>
      <c r="J90" s="28" t="inlineStr">
        <is>
          <t>Record exact original/adapted words and current ISA; never claim adapted runs qualify historical binary unchanged.</t>
        </is>
      </c>
      <c r="K90" s="28" t="inlineStr">
        <is>
          <t>simulator/test_alice_mallory_lab.js</t>
        </is>
      </c>
      <c r="L90" s="28" t="inlineStr">
        <is>
          <t>2026-10-17</t>
        </is>
      </c>
      <c r="M90" s="28" t="inlineStr">
        <is>
          <t>BASE-07: docs/reviews/phase1-baseline/README.md</t>
        </is>
      </c>
      <c r="N90" s="28" t="n"/>
    </row>
    <row r="91" ht="90" customHeight="1" s="14">
      <c r="A91" s="28" t="inlineStr">
        <is>
          <t>REL-01</t>
        </is>
      </c>
      <c r="B91" s="28" t="inlineStr">
        <is>
          <t>RTL / bitstream</t>
        </is>
      </c>
      <c r="C91" s="28" t="inlineStr">
        <is>
          <t>Fresh exact-source build provenance</t>
        </is>
      </c>
      <c r="D91" s="28" t="inlineStr">
        <is>
          <t>Phase 1 hardware</t>
        </is>
      </c>
      <c r="E91" s="28" t="inlineStr">
        <is>
          <t>High</t>
        </is>
      </c>
      <c r="F91" s="28" t="inlineStr">
        <is>
          <t>Open</t>
        </is>
      </c>
      <c r="G91" s="28" t="inlineStr">
        <is>
          <t>Unassigned</t>
        </is>
      </c>
      <c r="H91" s="28" t="inlineStr"/>
      <c r="I91" s="28" t="inlineStr">
        <is>
          <t>Prior inspection found 22/39 recorded build inputs differ; this is not a new build verification.</t>
        </is>
      </c>
      <c r="J91" s="28" t="inlineStr">
        <is>
          <t>Regenerate authorized exact inputs; verify hashes, ROM/configuration, timing, DRC and artifact sidecars.</t>
        </is>
      </c>
      <c r="K91" s="28" t="inlineStr">
        <is>
          <t>docs/wukong-release-chain.md</t>
        </is>
      </c>
      <c r="L91" s="28" t="inlineStr">
        <is>
          <t>2026-10-17</t>
        </is>
      </c>
      <c r="M91" s="28" t="inlineStr">
        <is>
          <t>BASE-06: docs/reviews/phase1-baseline/README.md; BASE-09: docs/reviews/phase1-baseline/README.md</t>
        </is>
      </c>
      <c r="N91" s="28" t="n"/>
    </row>
    <row r="92" ht="90" customHeight="1" s="14">
      <c r="A92" s="28" t="inlineStr">
        <is>
          <t>REL-02</t>
        </is>
      </c>
      <c r="B92" s="28" t="inlineStr">
        <is>
          <t>RTL / bitstream</t>
        </is>
      </c>
      <c r="C92" s="28" t="inlineStr">
        <is>
          <t>Physical acceptance of exact release candidate</t>
        </is>
      </c>
      <c r="D92" s="28" t="inlineStr">
        <is>
          <t>Phase 1 hardware</t>
        </is>
      </c>
      <c r="E92" s="28" t="inlineStr">
        <is>
          <t>High</t>
        </is>
      </c>
      <c r="F92" s="28" t="inlineStr">
        <is>
          <t>Not run</t>
        </is>
      </c>
      <c r="G92" s="28" t="inlineStr">
        <is>
          <t>Unassigned</t>
        </is>
      </c>
      <c r="H92" s="28" t="inlineStr">
        <is>
          <t>REL-01; H19; H20; separate hardware authorization</t>
        </is>
      </c>
      <c r="I92" s="28" t="inlineStr">
        <is>
          <t>No physical Phase 1 acceptance performed for this tracker.</t>
        </is>
      </c>
      <c r="J92" s="28" t="inlineStr">
        <is>
          <t>After separate authorization, run H19/H20 with exact board/build identity and retained raw observations.</t>
        </is>
      </c>
      <c r="K92" s="28" t="inlineStr">
        <is>
          <t>docs/phase-1/04-release/isa-to-fpga-alignment-plan.md</t>
        </is>
      </c>
      <c r="L92" s="28" t="inlineStr">
        <is>
          <t>2026-10-17</t>
        </is>
      </c>
      <c r="M92" s="28" t="inlineStr">
        <is>
          <t>BASE-09: docs/reviews/phase1-baseline/README.md</t>
        </is>
      </c>
      <c r="N92" s="28" t="n"/>
    </row>
    <row r="93" ht="90" customHeight="1" s="14">
      <c r="A93" s="28" t="inlineStr">
        <is>
          <t>REL-03</t>
        </is>
      </c>
      <c r="B93" s="28" t="inlineStr">
        <is>
          <t>RTL / bitstream</t>
        </is>
      </c>
      <c r="C93" s="28" t="inlineStr">
        <is>
          <t>Resolve reported regression failures</t>
        </is>
      </c>
      <c r="D93" s="28" t="inlineStr">
        <is>
          <t>Phase 1 hardware</t>
        </is>
      </c>
      <c r="E93" s="28" t="inlineStr">
        <is>
          <t>High</t>
        </is>
      </c>
      <c r="F93" s="28" t="inlineStr">
        <is>
          <t>Needs verification</t>
        </is>
      </c>
      <c r="G93" s="28" t="inlineStr">
        <is>
          <t>Unassigned</t>
        </is>
      </c>
      <c r="H93" s="28" t="inlineStr"/>
      <c r="I93" s="28" t="inlineStr">
        <is>
          <t>Fresh combined merge verification: 190 passed, 2 failed; no skips/xfails. Admission/allocation/private simulation: 128 passes. Independent image suite: 62 passes, 2 migration failures (parent/explicit config). Historical migration copies device address 0x40000014 into resident NS[10]; generator correctly rejects out-of-RAM placement. Other regression groups remain open.</t>
        </is>
      </c>
      <c r="J93" s="28" t="inlineStr">
        <is>
          <t>Isolate current failures, classify stale fixtures versus defects; record commands, output, identities and reruns.</t>
        </is>
      </c>
      <c r="K93" s="28" t="inlineStr">
        <is>
          <t>scripts/run-all-tests.sh</t>
        </is>
      </c>
      <c r="L93" s="28" t="inlineStr">
        <is>
          <t>2026-10-17</t>
        </is>
      </c>
      <c r="M93" s="28" t="inlineStr">
        <is>
          <t>BASE-01: docs/reviews/phase1-baseline/README.md; BASE-03: docs/reviews/phase1-baseline/README.md; BASE-08: docs/reviews/phase1-baseline/README.md; docs/reviews/phase1-baseline/namespace-authority-progress.md; docs/reviews/phase1-baseline/namespace-authority-progress.md#combined-post-merge-verification--17-october-2026</t>
        </is>
      </c>
      <c r="N93" s="28" t="n"/>
    </row>
    <row r="94" ht="90" customHeight="1" s="14">
      <c r="A94" s="28" t="inlineStr">
        <is>
          <t>RES-Boot.NS</t>
        </is>
      </c>
      <c r="B94" s="28" t="inlineStr">
        <is>
          <t>Named abstractions</t>
        </is>
      </c>
      <c r="C94" s="28" t="inlineStr">
        <is>
          <t>Boot.NS — Namespace foundation</t>
        </is>
      </c>
      <c r="D94" s="28" t="inlineStr">
        <is>
          <t>Phase 1 software</t>
        </is>
      </c>
      <c r="E94" s="28" t="inlineStr">
        <is>
          <t>High</t>
        </is>
      </c>
      <c r="F94" s="28" t="inlineStr">
        <is>
          <t>Needs verification</t>
        </is>
      </c>
      <c r="G94" s="28" t="inlineStr">
        <is>
          <t>Unassigned</t>
        </is>
      </c>
      <c r="H94" s="28" t="inlineStr"/>
      <c r="I94" s="28" t="inlineStr">
        <is>
          <t>Saved snapshot uses legacy slot-2 UART layout; approved Phase 1 entry layout must be reconciled before qualification.</t>
        </is>
      </c>
      <c r="J94" s="28" t="inlineStr">
        <is>
          <t>Record exact artifact, approved destination/binding, resident footprint and simulator/RTL/board acceptance separately.</t>
        </is>
      </c>
      <c r="K94" s="28" t="inlineStr">
        <is>
          <t>server/lumps/ns-state.json; docs/phase-1/04-release/isa-to-fpga-alignment-plan.md</t>
        </is>
      </c>
      <c r="L94" s="28" t="inlineStr">
        <is>
          <t>2026-10-17</t>
        </is>
      </c>
      <c r="M94" s="28" t="n"/>
      <c r="N94" s="28" t="n"/>
    </row>
    <row r="95" ht="90" customHeight="1" s="14">
      <c r="A95" s="28" t="inlineStr">
        <is>
          <t>RES-Boot.Thread</t>
        </is>
      </c>
      <c r="B95" s="28" t="inlineStr">
        <is>
          <t>Named abstractions</t>
        </is>
      </c>
      <c r="C95" s="28" t="inlineStr">
        <is>
          <t>Boot.Thread — Initial context</t>
        </is>
      </c>
      <c r="D95" s="28" t="inlineStr">
        <is>
          <t>Phase 1 software</t>
        </is>
      </c>
      <c r="E95" s="28" t="inlineStr">
        <is>
          <t>High</t>
        </is>
      </c>
      <c r="F95" s="28" t="inlineStr">
        <is>
          <t>Needs verification</t>
        </is>
      </c>
      <c r="G95" s="28" t="inlineStr">
        <is>
          <t>Unassigned</t>
        </is>
      </c>
      <c r="H95" s="28" t="inlineStr"/>
      <c r="I95" s="28" t="inlineStr">
        <is>
          <t>Saved resident initial context; not evidence of exact-board Phase 1 acceptance.</t>
        </is>
      </c>
      <c r="J95" s="28" t="inlineStr">
        <is>
          <t>Record exact artifact, approved destination/binding, resident footprint and simulator/RTL/board acceptance separately.</t>
        </is>
      </c>
      <c r="K95" s="28" t="inlineStr">
        <is>
          <t>server/lumps/ns-state.json; docs/phase-1/04-release/isa-to-fpga-alignment-plan.md</t>
        </is>
      </c>
      <c r="L95" s="28" t="inlineStr">
        <is>
          <t>2026-10-17</t>
        </is>
      </c>
      <c r="M95" s="28" t="n"/>
      <c r="N95" s="28" t="n"/>
    </row>
    <row r="96" ht="90" customHeight="1" s="14">
      <c r="A96" s="28" t="inlineStr">
        <is>
          <t>RES-Thread.2</t>
        </is>
      </c>
      <c r="B96" s="28" t="inlineStr">
        <is>
          <t>Named abstractions</t>
        </is>
      </c>
      <c r="C96" s="28" t="inlineStr">
        <is>
          <t>Thread.2 — Additional context</t>
        </is>
      </c>
      <c r="D96" s="28" t="inlineStr">
        <is>
          <t>Phase 1 software</t>
        </is>
      </c>
      <c r="E96" s="28" t="inlineStr">
        <is>
          <t>High</t>
        </is>
      </c>
      <c r="F96" s="28" t="inlineStr">
        <is>
          <t>Needs verification</t>
        </is>
      </c>
      <c r="G96" s="28" t="inlineStr">
        <is>
          <t>Unassigned</t>
        </is>
      </c>
      <c r="H96" s="28" t="inlineStr"/>
      <c r="I96" s="28" t="inlineStr">
        <is>
          <t>Saved resident context; approved entry and cooperative handoff need exact-artifact qualification.</t>
        </is>
      </c>
      <c r="J96" s="28" t="inlineStr">
        <is>
          <t>Record exact artifact, approved destination/binding, resident footprint and simulator/RTL/board acceptance separately.</t>
        </is>
      </c>
      <c r="K96" s="28" t="inlineStr">
        <is>
          <t>server/lumps/ns-state.json; docs/phase-1/04-release/isa-to-fpga-alignment-plan.md</t>
        </is>
      </c>
      <c r="L96" s="28" t="inlineStr">
        <is>
          <t>2026-10-17</t>
        </is>
      </c>
      <c r="M96" s="28" t="n"/>
      <c r="N96" s="28" t="n"/>
    </row>
    <row r="97" ht="90" customHeight="1" s="14">
      <c r="A97" s="28" t="inlineStr">
        <is>
          <t>RES-Thread.3</t>
        </is>
      </c>
      <c r="B97" s="28" t="inlineStr">
        <is>
          <t>Named abstractions</t>
        </is>
      </c>
      <c r="C97" s="28" t="inlineStr">
        <is>
          <t>Thread.3 — Additional context</t>
        </is>
      </c>
      <c r="D97" s="28" t="inlineStr">
        <is>
          <t>Phase 1 software</t>
        </is>
      </c>
      <c r="E97" s="28" t="inlineStr">
        <is>
          <t>High</t>
        </is>
      </c>
      <c r="F97" s="28" t="inlineStr">
        <is>
          <t>Needs verification</t>
        </is>
      </c>
      <c r="G97" s="28" t="inlineStr">
        <is>
          <t>Unassigned</t>
        </is>
      </c>
      <c r="H97" s="28" t="inlineStr"/>
      <c r="I97" s="28" t="inlineStr">
        <is>
          <t>Saved resident context; approved entry and cooperative handoff need exact-artifact qualification.</t>
        </is>
      </c>
      <c r="J97" s="28" t="inlineStr">
        <is>
          <t>Record exact artifact, approved destination/binding, resident footprint and simulator/RTL/board acceptance separately.</t>
        </is>
      </c>
      <c r="K97" s="28" t="inlineStr">
        <is>
          <t>server/lumps/ns-state.json; docs/phase-1/04-release/isa-to-fpga-alignment-plan.md</t>
        </is>
      </c>
      <c r="L97" s="28" t="inlineStr">
        <is>
          <t>2026-10-17</t>
        </is>
      </c>
      <c r="M97" s="28" t="n"/>
      <c r="N97" s="28" t="n"/>
    </row>
    <row r="98" ht="90" customHeight="1" s="14">
      <c r="A98" s="28" t="inlineStr">
        <is>
          <t>RES-SelfTest</t>
        </is>
      </c>
      <c r="B98" s="28" t="inlineStr">
        <is>
          <t>Named abstractions</t>
        </is>
      </c>
      <c r="C98" s="28" t="inlineStr">
        <is>
          <t>SelfTest — Startup diagnostic</t>
        </is>
      </c>
      <c r="D98" s="28" t="inlineStr">
        <is>
          <t>Phase 1 software</t>
        </is>
      </c>
      <c r="E98" s="28" t="inlineStr">
        <is>
          <t>High</t>
        </is>
      </c>
      <c r="F98" s="28" t="inlineStr">
        <is>
          <t>Needs verification</t>
        </is>
      </c>
      <c r="G98" s="28" t="inlineStr">
        <is>
          <t>Unassigned</t>
        </is>
      </c>
      <c r="H98" s="28" t="inlineStr"/>
      <c r="I98" s="28" t="inlineStr">
        <is>
          <t>Saved resident startup diagnostic; discarded failure results can mask errors. Inspect branch and return-status evidence.</t>
        </is>
      </c>
      <c r="J98" s="28" t="inlineStr">
        <is>
          <t>Record exact artifact, approved destination/binding, resident footprint and simulator/RTL/board acceptance separately.</t>
        </is>
      </c>
      <c r="K98" s="28" t="inlineStr">
        <is>
          <t>server/lumps/ns-state.json; docs/phase-1/04-release/isa-to-fpga-alignment-plan.md</t>
        </is>
      </c>
      <c r="L98" s="28" t="inlineStr">
        <is>
          <t>2026-10-17</t>
        </is>
      </c>
      <c r="M98" s="28" t="inlineStr">
        <is>
          <t>BASE-02: docs/reviews/phase1-baseline/README.md; BASE-07: docs/reviews/phase1-baseline/README.md</t>
        </is>
      </c>
      <c r="N98" s="28" t="n"/>
    </row>
    <row r="99" ht="90" customHeight="1" s="14">
      <c r="A99" s="28" t="inlineStr">
        <is>
          <t>RES-CapabilityTest</t>
        </is>
      </c>
      <c r="B99" s="28" t="inlineStr">
        <is>
          <t>Named abstractions</t>
        </is>
      </c>
      <c r="C99" s="28" t="inlineStr">
        <is>
          <t>CapabilityTest — Capability/cooperative test coordinator</t>
        </is>
      </c>
      <c r="D99" s="28" t="inlineStr">
        <is>
          <t>Phase 1 software</t>
        </is>
      </c>
      <c r="E99" s="28" t="inlineStr">
        <is>
          <t>High</t>
        </is>
      </c>
      <c r="F99" s="28" t="inlineStr">
        <is>
          <t>Needs verification</t>
        </is>
      </c>
      <c r="G99" s="28" t="inlineStr">
        <is>
          <t>Unassigned</t>
        </is>
      </c>
      <c r="H99" s="28" t="inlineStr"/>
      <c r="I99" s="28" t="inlineStr">
        <is>
          <t>Saved resident boot target/test coordinator; validate calls to SelfTest and WukongCallHome, returns and cooperative CHANGE.</t>
        </is>
      </c>
      <c r="J99" s="28" t="inlineStr">
        <is>
          <t>Record exact artifact, approved destination/binding, resident footprint and simulator/RTL/board acceptance separately.</t>
        </is>
      </c>
      <c r="K99" s="28" t="inlineStr">
        <is>
          <t>server/lumps/ns-state.json; docs/phase-1/04-release/isa-to-fpga-alignment-plan.md</t>
        </is>
      </c>
      <c r="L99" s="28" t="inlineStr">
        <is>
          <t>2026-10-17</t>
        </is>
      </c>
      <c r="M99" s="28" t="inlineStr">
        <is>
          <t>BASE-02: docs/reviews/phase1-baseline/README.md</t>
        </is>
      </c>
      <c r="N99" s="28" t="n"/>
    </row>
    <row r="100" ht="90" customHeight="1" s="14">
      <c r="A100" s="28" t="inlineStr">
        <is>
          <t>RES-WukongCallHome</t>
        </is>
      </c>
      <c r="B100" s="28" t="inlineStr">
        <is>
          <t>Named abstractions</t>
        </is>
      </c>
      <c r="C100" s="28" t="inlineStr">
        <is>
          <t>WukongCallHome — Authorized UART reporting</t>
        </is>
      </c>
      <c r="D100" s="28" t="inlineStr">
        <is>
          <t>Phase 1 software</t>
        </is>
      </c>
      <c r="E100" s="28" t="inlineStr">
        <is>
          <t>High</t>
        </is>
      </c>
      <c r="F100" s="28" t="inlineStr">
        <is>
          <t>Needs verification</t>
        </is>
      </c>
      <c r="G100" s="28" t="inlineStr">
        <is>
          <t>Unassigned</t>
        </is>
      </c>
      <c r="H100" s="28" t="inlineStr"/>
      <c r="I100" s="28" t="inlineStr">
        <is>
          <t>Saved resident UART reporting routine. Receipt alone does not prove all tests passed, current bitstream or authenticated identity.</t>
        </is>
      </c>
      <c r="J100" s="28" t="inlineStr">
        <is>
          <t>Record exact artifact, approved destination/binding, resident footprint and simulator/RTL/board acceptance separately.</t>
        </is>
      </c>
      <c r="K100" s="28" t="inlineStr">
        <is>
          <t>server/lumps/ns-state.json; docs/phase-1/04-release/isa-to-fpga-alignment-plan.md</t>
        </is>
      </c>
      <c r="L100" s="28" t="inlineStr">
        <is>
          <t>2026-10-17</t>
        </is>
      </c>
      <c r="M100" s="28" t="inlineStr">
        <is>
          <t>BASE-02: docs/reviews/phase1-baseline/README.md</t>
        </is>
      </c>
      <c r="N100" s="28" t="n"/>
    </row>
    <row r="101" ht="90" customHeight="1" s="14">
      <c r="A101" s="28" t="inlineStr">
        <is>
          <t>RES-ide.Mint</t>
        </is>
      </c>
      <c r="B101" s="28" t="inlineStr">
        <is>
          <t>Named abstractions</t>
        </is>
      </c>
      <c r="C101" s="28" t="inlineStr">
        <is>
          <t>ide.Mint — Object and credential service</t>
        </is>
      </c>
      <c r="D101" s="28" t="inlineStr">
        <is>
          <t>Phase 1 software</t>
        </is>
      </c>
      <c r="E101" s="28" t="inlineStr">
        <is>
          <t>High</t>
        </is>
      </c>
      <c r="F101" s="28" t="inlineStr">
        <is>
          <t>Open</t>
        </is>
      </c>
      <c r="G101" s="28" t="inlineStr">
        <is>
          <t>Unassigned</t>
        </is>
      </c>
      <c r="H101" s="28" t="inlineStr">
        <is>
          <t>G1-G8</t>
        </is>
      </c>
      <c r="I101" s="28" t="inlineStr">
        <is>
          <t>57-answer ledger and Genesis review established; G1-G8 open. First credential Create-only in Boot, with permanently empty Replace/Destroy targets. Absent from inspected saved Namespace.</t>
        </is>
      </c>
      <c r="J101" s="28" t="inlineStr">
        <is>
          <t>Record exact artifact, approved destination/binding, resident footprint and simulator/RTL/board acceptance separately.</t>
        </is>
      </c>
      <c r="K101" s="28" t="inlineStr">
        <is>
          <t>server/lumps/ns-state.json; docs/reviews/mint-phase1/open-issues.md</t>
        </is>
      </c>
      <c r="L101" s="28" t="inlineStr">
        <is>
          <t>2026-10-17</t>
        </is>
      </c>
      <c r="M101" s="28" t="n"/>
      <c r="N101" s="28" t="n"/>
    </row>
    <row r="102" ht="90" customHeight="1" s="14">
      <c r="A102" s="28" t="inlineStr">
        <is>
          <t>RES-ide.PkVerify</t>
        </is>
      </c>
      <c r="B102" s="28" t="inlineStr">
        <is>
          <t>Named abstractions</t>
        </is>
      </c>
      <c r="C102" s="28" t="inlineStr">
        <is>
          <t>ide.PkVerify — Exact-request PassKey verifier</t>
        </is>
      </c>
      <c r="D102" s="28" t="inlineStr">
        <is>
          <t>Phase 1 software</t>
        </is>
      </c>
      <c r="E102" s="28" t="inlineStr">
        <is>
          <t>High</t>
        </is>
      </c>
      <c r="F102" s="28" t="inlineStr">
        <is>
          <t>Open</t>
        </is>
      </c>
      <c r="G102" s="28" t="inlineStr">
        <is>
          <t>Unassigned</t>
        </is>
      </c>
      <c r="H102" s="28" t="inlineStr">
        <is>
          <t>G2; G3; G6</t>
        </is>
      </c>
      <c r="I102" s="28" t="inlineStr">
        <is>
          <t>Designed exact-request verifier, not qualified operational service. Absent from inspected saved Namespace; protected context and provisioning still gated.</t>
        </is>
      </c>
      <c r="J102" s="28" t="inlineStr">
        <is>
          <t>Record exact artifact, approved destination/binding, resident footprint and simulator/RTL/board acceptance separately.</t>
        </is>
      </c>
      <c r="K102" s="28" t="inlineStr">
        <is>
          <t>server/lumps/ns-state.json; docs/reviews/mint-phase1/open-issues.md</t>
        </is>
      </c>
      <c r="L102" s="28" t="inlineStr">
        <is>
          <t>2026-10-17</t>
        </is>
      </c>
      <c r="M102" s="28" t="n"/>
      <c r="N102" s="28" t="n"/>
    </row>
    <row r="103" ht="90" customHeight="1" s="14">
      <c r="A103" s="28" t="inlineStr">
        <is>
          <t>RES-ide.NSTab</t>
        </is>
      </c>
      <c r="B103" s="28" t="inlineStr">
        <is>
          <t>Named abstractions</t>
        </is>
      </c>
      <c r="C103" s="28" t="inlineStr">
        <is>
          <t>ide.NSTab — Namespace table RW object</t>
        </is>
      </c>
      <c r="D103" s="28" t="inlineStr">
        <is>
          <t>Phase 1 software</t>
        </is>
      </c>
      <c r="E103" s="28" t="inlineStr">
        <is>
          <t>High</t>
        </is>
      </c>
      <c r="F103" s="28" t="inlineStr">
        <is>
          <t>Open</t>
        </is>
      </c>
      <c r="G103" s="28" t="inlineStr">
        <is>
          <t>Unassigned</t>
        </is>
      </c>
      <c r="H103" s="28" t="inlineStr"/>
      <c r="I103" s="28" t="inlineStr">
        <is>
          <t>Specified RW table object, not an executable helper. Only Mint's internal Lambda may hold its table access; absent from inspected saved Namespace.</t>
        </is>
      </c>
      <c r="J103" s="28" t="inlineStr">
        <is>
          <t>Record exact artifact, approved destination/binding, resident footprint and simulator/RTL/board acceptance separately.</t>
        </is>
      </c>
      <c r="K103" s="28" t="inlineStr">
        <is>
          <t>server/lumps/ns-state.json; docs/reviews/mint-phase1/open-issues.md</t>
        </is>
      </c>
      <c r="L103" s="28" t="inlineStr">
        <is>
          <t>2026-10-17</t>
        </is>
      </c>
      <c r="M103" s="28" t="n"/>
      <c r="N103" s="28" t="n"/>
    </row>
    <row r="104" ht="90" customHeight="1" s="14">
      <c r="A104" s="28" t="inlineStr">
        <is>
          <t>RES-ide.Alice</t>
        </is>
      </c>
      <c r="B104" s="28" t="inlineStr">
        <is>
          <t>Named abstractions</t>
        </is>
      </c>
      <c r="C104" s="28" t="inlineStr">
        <is>
          <t>ide.Alice — Authorized containment example</t>
        </is>
      </c>
      <c r="D104" s="28" t="inlineStr">
        <is>
          <t>Phase 1 software</t>
        </is>
      </c>
      <c r="E104" s="28" t="inlineStr">
        <is>
          <t>High</t>
        </is>
      </c>
      <c r="F104" s="28" t="inlineStr">
        <is>
          <t>Needs verification</t>
        </is>
      </c>
      <c r="G104" s="28" t="inlineStr">
        <is>
          <t>Unassigned</t>
        </is>
      </c>
      <c r="H104" s="28" t="inlineStr"/>
      <c r="I104" s="28" t="inlineStr">
        <is>
          <t>Merged isolated simulator fixtures cover own-tuple DWRITE/DREAD and adapted legacy scenarios; not a new run or board acceptance. Not a saved resident here.</t>
        </is>
      </c>
      <c r="J104" s="28" t="inlineStr">
        <is>
          <t>Record exact artifact, approved destination/binding, resident footprint and simulator/RTL/board acceptance separately.</t>
        </is>
      </c>
      <c r="K104" s="28" t="inlineStr">
        <is>
          <t>simulator/test_alice_mallory_lab.js; simulator/test_alice_mallory_tuple_lab.js</t>
        </is>
      </c>
      <c r="L104" s="28" t="inlineStr">
        <is>
          <t>2026-10-17</t>
        </is>
      </c>
      <c r="M104" s="28" t="n"/>
      <c r="N104" s="28" t="n"/>
    </row>
    <row r="105" ht="90" customHeight="1" s="14">
      <c r="A105" s="28" t="inlineStr">
        <is>
          <t>RES-ide.Mallory</t>
        </is>
      </c>
      <c r="B105" s="28" t="inlineStr">
        <is>
          <t>Named abstractions</t>
        </is>
      </c>
      <c r="C105" s="28" t="inlineStr">
        <is>
          <t>ide.Mallory — Adversarial containment example</t>
        </is>
      </c>
      <c r="D105" s="28" t="inlineStr">
        <is>
          <t>Phase 1 software</t>
        </is>
      </c>
      <c r="E105" s="28" t="inlineStr">
        <is>
          <t>High</t>
        </is>
      </c>
      <c r="F105" s="28" t="inlineStr">
        <is>
          <t>Needs verification</t>
        </is>
      </c>
      <c r="G105" s="28" t="inlineStr">
        <is>
          <t>Unassigned</t>
        </is>
      </c>
      <c r="H105" s="28" t="inlineStr"/>
      <c r="I105" s="28" t="inlineStr">
        <is>
          <t>Merged seven tuple scenarios include absent-capability denial, own-tuple positive control, foreign/range read/write denial and full 58-word Alice integrity. No new run or board proof.</t>
        </is>
      </c>
      <c r="J105" s="28" t="inlineStr">
        <is>
          <t>Record exact artifact, approved destination/binding, resident footprint and simulator/RTL/board acceptance separately.</t>
        </is>
      </c>
      <c r="K105" s="28" t="inlineStr">
        <is>
          <t>simulator/test_alice_mallory_lab.js; simulator/test_alice_mallory_tuple_lab.js</t>
        </is>
      </c>
      <c r="L105" s="28" t="inlineStr">
        <is>
          <t>2026-10-17</t>
        </is>
      </c>
      <c r="M105" s="28" t="n"/>
      <c r="N105" s="28" t="n"/>
    </row>
    <row r="106" ht="100" customHeight="1" s="14">
      <c r="A106" s="28" t="inlineStr">
        <is>
          <t>BASE-01</t>
        </is>
      </c>
      <c r="B106" s="28" t="inlineStr">
        <is>
          <t>Baseline audit</t>
        </is>
      </c>
      <c r="C106" s="28" t="inlineStr">
        <is>
          <t>Assembler/compiler</t>
        </is>
      </c>
      <c r="D106" s="28" t="inlineStr">
        <is>
          <t>Phase 1 assurance</t>
        </is>
      </c>
      <c r="E106" s="28" t="inlineStr">
        <is>
          <t>High</t>
        </is>
      </c>
      <c r="F106" s="28" t="inlineStr">
        <is>
          <t>Open</t>
        </is>
      </c>
      <c r="G106" s="28" t="inlineStr">
        <is>
          <t>Unassigned</t>
        </is>
      </c>
      <c r="H106" s="28" t="inlineStr">
        <is>
          <t>SIM-01; REL-03</t>
        </is>
      </c>
      <c r="I106" s="28" t="inlineStr">
        <is>
          <t>Confirmed dependency-initialization failure; not an ISA verdict. Existing assembler workflow throws TypeError: ChurchAssembler is not a constructor at compiler line 220. Fresh in-memory probe reproduces it with global assembler undefined; injecting the real constructor removes this exception (the sample still has one compile diagnostic).</t>
        </is>
      </c>
      <c r="J106" s="28" t="inlineStr">
        <is>
          <t>Establish explicit Node/compiler dependency setup and regression coverage; rerun isolated assembler suite before interpreting encoding failures. Do not weaken retired-opcode diagnostics.</t>
        </is>
      </c>
      <c r="K106" s="28" t="inlineStr">
        <is>
          <t>docs/reviews/phase1-baseline/README.md</t>
        </is>
      </c>
      <c r="L106" s="28" t="inlineStr">
        <is>
          <t>2026-10-17</t>
        </is>
      </c>
      <c r="M106" s="28" t="inlineStr">
        <is>
          <t>docs/reviews/phase1-baseline/README.md</t>
        </is>
      </c>
      <c r="N106" s="28" t="n"/>
    </row>
    <row r="107" ht="100" customHeight="1" s="14">
      <c r="A107" s="28" t="inlineStr">
        <is>
          <t>BASE-02</t>
        </is>
      </c>
      <c r="B107" s="28" t="inlineStr">
        <is>
          <t>Baseline audit</t>
        </is>
      </c>
      <c r="C107" s="28" t="inlineStr">
        <is>
          <t>Namespace authority</t>
        </is>
      </c>
      <c r="D107" s="28" t="inlineStr">
        <is>
          <t>Phase 1 assurance</t>
        </is>
      </c>
      <c r="E107" s="28" t="inlineStr">
        <is>
          <t>High</t>
        </is>
      </c>
      <c r="F107" s="28" t="inlineStr">
        <is>
          <t>Needs verification</t>
        </is>
      </c>
      <c r="G107" s="28" t="inlineStr">
        <is>
          <t>Unassigned</t>
        </is>
      </c>
      <c r="H107" s="28" t="inlineStr">
        <is>
          <t>RES-SelfTest; RES-WukongCallHome; RES-CapabilityTest; IDE-03</t>
        </is>
      </c>
      <c r="I107" s="28" t="inlineStr">
        <is>
          <t>Runtime admission and R26 now validate exact Namespace-selected bytes without an active manifest-row requirement. Real admission passes with missing, archived and duplicate catalog entries. Further consumer/flow evidence remains.</t>
        </is>
      </c>
      <c r="J107" s="28" t="inlineStr">
        <is>
          <t>Correct the test's requirement for an active manifest row and inspect consumers for equivalent catalog vetoes. Validate exact Namespace-selected bytes, identity, permissions, allocation and binding directly. A library/history index may locate files but cannot override approval. No catalog repair or reselection is required merely to satisfy this test.</t>
        </is>
      </c>
      <c r="K107" s="28" t="inlineStr">
        <is>
          <t>docs/reviews/phase1-baseline/README.md</t>
        </is>
      </c>
      <c r="L107" s="28" t="inlineStr">
        <is>
          <t>2026-10-17</t>
        </is>
      </c>
      <c r="M107" s="28" t="inlineStr">
        <is>
          <t>docs/reviews/phase1-baseline/README.md; docs/reviews/phase1-baseline/namespace-authority-progress.md</t>
        </is>
      </c>
      <c r="N107" s="28" t="n"/>
    </row>
    <row r="108" ht="100" customHeight="1" s="14">
      <c r="A108" s="28" t="inlineStr">
        <is>
          <t>BASE-03</t>
        </is>
      </c>
      <c r="B108" s="28" t="inlineStr">
        <is>
          <t>Baseline audit</t>
        </is>
      </c>
      <c r="C108" s="28" t="inlineStr">
        <is>
          <t>LUMP GT validator</t>
        </is>
      </c>
      <c r="D108" s="28" t="inlineStr">
        <is>
          <t>Phase 1 assurance</t>
        </is>
      </c>
      <c r="E108" s="28" t="inlineStr">
        <is>
          <t>High</t>
        </is>
      </c>
      <c r="F108" s="28" t="inlineStr">
        <is>
          <t>Open</t>
        </is>
      </c>
      <c r="G108" s="28" t="inlineStr">
        <is>
          <t>Unassigned</t>
        </is>
      </c>
      <c r="H108" s="28" t="inlineStr">
        <is>
          <t>SIM-01; SEAL-02; REL-03</t>
        </is>
      </c>
      <c r="I108" s="28" t="inlineStr">
        <is>
          <t>Legacy-oracle conflict; affected binary validity not established. Four reported R22 failures use _gt_word0_violation, which declares bit 26 spare and rejects it. The test itself notes Abstract GT encodings use bits 26:25=11. The four reported cases are 04b2913d, 3b057bbb, Ethernet.1.b169bba4 and Ethernet.1.fc72b0e3.</t>
        </is>
      </c>
      <c r="J108" s="28" t="inlineStr">
        <is>
          <t>Classify each rejected word by approved type and permissions; replace the obsolete blanket rule only under the current contract. Do not declare all four artifacts valid just because the old rule is wrong.</t>
        </is>
      </c>
      <c r="K108" s="28" t="inlineStr">
        <is>
          <t>docs/reviews/phase1-baseline/README.md</t>
        </is>
      </c>
      <c r="L108" s="28" t="inlineStr">
        <is>
          <t>2026-10-17</t>
        </is>
      </c>
      <c r="M108" s="28" t="inlineStr">
        <is>
          <t>docs/reviews/phase1-baseline/README.md</t>
        </is>
      </c>
      <c r="N108" s="28" t="n"/>
    </row>
    <row r="109" ht="100" customHeight="1" s="14">
      <c r="A109" s="28" t="inlineStr">
        <is>
          <t>BASE-04</t>
        </is>
      </c>
      <c r="B109" s="28" t="inlineStr">
        <is>
          <t>Baseline audit</t>
        </is>
      </c>
      <c r="C109" s="28" t="inlineStr">
        <is>
          <t>Boot-image agreement</t>
        </is>
      </c>
      <c r="D109" s="28" t="inlineStr">
        <is>
          <t>Phase 1 assurance</t>
        </is>
      </c>
      <c r="E109" s="28" t="inlineStr">
        <is>
          <t>High</t>
        </is>
      </c>
      <c r="F109" s="28" t="inlineStr">
        <is>
          <t>Open</t>
        </is>
      </c>
      <c r="G109" s="28" t="inlineStr">
        <is>
          <t>Unassigned</t>
        </is>
      </c>
      <c r="H109" s="28" t="inlineStr">
        <is>
          <t>SIM-03; H10; H11; H12</t>
        </is>
      </c>
      <c r="I109" s="28" t="inlineStr">
        <is>
          <t>Shared generator/fixture contract failure; root cause provisional. All 18 reported failures stop at mandatory NS slot 2 is zeroed; 8 other cases passed. Tests build synthetic Boot.Abstr fixtures in temporary directories; generator still requires legacy slots (0,1,2,3,4,5,6,10). Agreement is not reached in these failed cases.</t>
        </is>
      </c>
      <c r="J109" s="28" t="inlineStr">
        <is>
          <t>Trace fixture selection, generation policy and validator mode in an isolated copy. Reconcile approved slot-2 entry versus legacy device/profile semantics; do not remove validation merely to pass tests.</t>
        </is>
      </c>
      <c r="K109" s="28" t="inlineStr">
        <is>
          <t>docs/reviews/phase1-baseline/README.md</t>
        </is>
      </c>
      <c r="L109" s="28" t="inlineStr">
        <is>
          <t>2026-10-17</t>
        </is>
      </c>
      <c r="M109" s="28" t="inlineStr">
        <is>
          <t>docs/reviews/phase1-baseline/README.md</t>
        </is>
      </c>
      <c r="N109" s="28" t="n"/>
    </row>
    <row r="110" ht="100" customHeight="1" s="14">
      <c r="A110" s="28" t="inlineStr">
        <is>
          <t>BASE-05</t>
        </is>
      </c>
      <c r="B110" s="28" t="inlineStr">
        <is>
          <t>Baseline audit</t>
        </is>
      </c>
      <c r="C110" s="28" t="inlineStr">
        <is>
          <t>RTL boot/control</t>
        </is>
      </c>
      <c r="D110" s="28" t="inlineStr">
        <is>
          <t>Phase 1 assurance</t>
        </is>
      </c>
      <c r="E110" s="28" t="inlineStr">
        <is>
          <t>High</t>
        </is>
      </c>
      <c r="F110" s="28" t="inlineStr">
        <is>
          <t>Needs verification</t>
        </is>
      </c>
      <c r="G110" s="28" t="inlineStr">
        <is>
          <t>Unassigned</t>
        </is>
      </c>
      <c r="H110" s="28" t="inlineStr">
        <is>
          <t>SIM-02; SIM-03; H05; H09; H18</t>
        </is>
      </c>
      <c r="I110" s="28" t="inlineStr">
        <is>
          <t>Unresolved fixture/implementation/oracle failures. Existing run: 8 failed, 46 passed. Failures cover SWITCH outcomes, delayed-fault issuer attribution, nested CALL/RETURN and saved-PC validation. No fresh RTL simulation was performed.</t>
        </is>
      </c>
      <c r="J110" s="28" t="inlineStr">
        <is>
          <t>Capture instruction words and pre-fault state, verify approved fixture encodings, then replay minimal isolated cases. Keep implementation defects possible until evidence excludes them.</t>
        </is>
      </c>
      <c r="K110" s="28" t="inlineStr">
        <is>
          <t>docs/reviews/phase1-baseline/README.md</t>
        </is>
      </c>
      <c r="L110" s="28" t="inlineStr">
        <is>
          <t>2026-10-17</t>
        </is>
      </c>
      <c r="M110" s="28" t="inlineStr">
        <is>
          <t>docs/reviews/phase1-baseline/README.md</t>
        </is>
      </c>
      <c r="N110" s="28" t="n"/>
    </row>
    <row r="111" ht="100" customHeight="1" s="14">
      <c r="A111" s="28" t="inlineStr">
        <is>
          <t>BASE-06</t>
        </is>
      </c>
      <c r="B111" s="28" t="inlineStr">
        <is>
          <t>Baseline audit</t>
        </is>
      </c>
      <c r="C111" s="28" t="inlineStr">
        <is>
          <t>Generated initialization</t>
        </is>
      </c>
      <c r="D111" s="28" t="inlineStr">
        <is>
          <t>Phase 1 assurance</t>
        </is>
      </c>
      <c r="E111" s="28" t="inlineStr">
        <is>
          <t>High</t>
        </is>
      </c>
      <c r="F111" s="28" t="inlineStr">
        <is>
          <t>Open</t>
        </is>
      </c>
      <c r="G111" s="28" t="inlineStr">
        <is>
          <t>Unassigned</t>
        </is>
      </c>
      <c r="H111" s="28" t="inlineStr">
        <is>
          <t>REL-01; H19; H20</t>
        </is>
      </c>
      <c r="I111" s="28" t="inlineStr">
        <is>
          <t>Reported generated-artifact/source mismatch; not freshly recomputed. Existing guard: RTLIL init ROM 2693 entries versus Python source 2694; 1 failed, 25 passed in that suite.</t>
        </is>
      </c>
      <c r="J111" s="28" t="inlineStr">
        <is>
          <t>Freeze source and approved image first; then regenerate and qualify exact outputs under separate authorization. Do not equate a one-entry count fix with a qualified bitstream.</t>
        </is>
      </c>
      <c r="K111" s="28" t="inlineStr">
        <is>
          <t>docs/reviews/phase1-baseline/README.md</t>
        </is>
      </c>
      <c r="L111" s="28" t="inlineStr">
        <is>
          <t>2026-10-17</t>
        </is>
      </c>
      <c r="M111" s="28" t="inlineStr">
        <is>
          <t>docs/reviews/phase1-baseline/README.md</t>
        </is>
      </c>
      <c r="N111" s="28" t="n"/>
    </row>
    <row r="112" ht="100" customHeight="1" s="14">
      <c r="A112" s="28" t="inlineStr">
        <is>
          <t>BASE-07</t>
        </is>
      </c>
      <c r="B112" s="28" t="inlineStr">
        <is>
          <t>Baseline audit</t>
        </is>
      </c>
      <c r="C112" s="28" t="inlineStr">
        <is>
          <t>SelfTest freshness</t>
        </is>
      </c>
      <c r="D112" s="28" t="inlineStr">
        <is>
          <t>Phase 1 assurance</t>
        </is>
      </c>
      <c r="E112" s="28" t="inlineStr">
        <is>
          <t>High</t>
        </is>
      </c>
      <c r="F112" s="28" t="inlineStr">
        <is>
          <t>Open</t>
        </is>
      </c>
      <c r="G112" s="28" t="inlineStr">
        <is>
          <t>Unassigned</t>
        </is>
      </c>
      <c r="H112" s="28" t="inlineStr">
        <is>
          <t>RES-SelfTest; SIM-05</t>
        </is>
      </c>
      <c r="I112" s="28" t="inlineStr">
        <is>
          <t>Reported source/entry-format drift, not observed execution failure. Selected SelfTest hash is intact. Existing freshness guard says instruction body MATCH, embedded text DIFFERENT, method-entry format DIFFERENT. The first failing command prevents the chained guard-test command from running.</t>
        </is>
      </c>
      <c r="J112" s="28" t="inlineStr">
        <is>
          <t>Independently inspect actual CALL dispatch/decoder behavior for the exact selected artifact before proposing replacement. Preserve the selected bytes and distinguish source freshness from execution compatibility.</t>
        </is>
      </c>
      <c r="K112" s="28" t="inlineStr">
        <is>
          <t>docs/reviews/phase1-baseline/README.md</t>
        </is>
      </c>
      <c r="L112" s="28" t="inlineStr">
        <is>
          <t>2026-10-17</t>
        </is>
      </c>
      <c r="M112" s="28" t="inlineStr">
        <is>
          <t>docs/reviews/phase1-baseline/README.md</t>
        </is>
      </c>
      <c r="N112" s="28" t="n"/>
    </row>
    <row r="113" ht="100" customHeight="1" s="14">
      <c r="A113" s="28" t="inlineStr">
        <is>
          <t>BASE-08</t>
        </is>
      </c>
      <c r="B113" s="28" t="inlineStr">
        <is>
          <t>Baseline audit</t>
        </is>
      </c>
      <c r="C113" s="28" t="inlineStr">
        <is>
          <t>API reference suite</t>
        </is>
      </c>
      <c r="D113" s="28" t="inlineStr">
        <is>
          <t>Phase 1 assurance</t>
        </is>
      </c>
      <c r="E113" s="28" t="inlineStr">
        <is>
          <t>High</t>
        </is>
      </c>
      <c r="F113" s="28" t="inlineStr">
        <is>
          <t>Needs verification</t>
        </is>
      </c>
      <c r="G113" s="28" t="inlineStr">
        <is>
          <t>Unassigned</t>
        </is>
      </c>
      <c r="H113" s="28" t="inlineStr">
        <is>
          <t>IDE-06; REL-03</t>
        </is>
      </c>
      <c r="I113" s="28" t="inlineStr">
        <is>
          <t>Probable fixture/contract drift; not a fresh test result. Existing run fails in test_abs_saved_api.js: compiled method declarations unavailable. The fixture invokes _formatLumpApiDefinition('LED', []); failure occurs before the advertised reference comparison completes.</t>
        </is>
      </c>
      <c r="J113" s="28" t="inlineStr">
        <is>
          <t>Supply authentic compiled metadata in the fixture, or establish why valid metadata is lost; retain fail-closed refusal to infer API from another LUMP.</t>
        </is>
      </c>
      <c r="K113" s="28" t="inlineStr">
        <is>
          <t>docs/reviews/phase1-baseline/README.md</t>
        </is>
      </c>
      <c r="L113" s="28" t="inlineStr">
        <is>
          <t>2026-10-17</t>
        </is>
      </c>
      <c r="M113" s="28" t="inlineStr">
        <is>
          <t>docs/reviews/phase1-baseline/README.md</t>
        </is>
      </c>
      <c r="N113" s="28" t="n"/>
    </row>
    <row r="114" ht="100" customHeight="1" s="14">
      <c r="A114" s="28" t="inlineStr">
        <is>
          <t>BASE-09</t>
        </is>
      </c>
      <c r="B114" s="28" t="inlineStr">
        <is>
          <t>Baseline audit</t>
        </is>
      </c>
      <c r="C114" s="28" t="inlineStr">
        <is>
          <t>Bitstream provenance</t>
        </is>
      </c>
      <c r="D114" s="28" t="inlineStr">
        <is>
          <t>Phase 1 assurance</t>
        </is>
      </c>
      <c r="E114" s="28" t="inlineStr">
        <is>
          <t>High</t>
        </is>
      </c>
      <c r="F114" s="28" t="inlineStr">
        <is>
          <t>Open</t>
        </is>
      </c>
      <c r="G114" s="28" t="inlineStr">
        <is>
          <t>Unassigned</t>
        </is>
      </c>
      <c r="H114" s="28" t="inlineStr">
        <is>
          <t>REL-01; REL-02; CM-H</t>
        </is>
      </c>
      <c r="I114" s="28" t="inlineStr">
        <is>
          <t>Confirmed current-source drift from recorded build. Fresh hash comparison finds 22 of 39 recorded input fingerprints differ from current files. The record's historical “verified” label is not qualification of today's source.</t>
        </is>
      </c>
      <c r="J114" s="28" t="inlineStr">
        <is>
          <t>Freeze the candidate source/configuration; obtain matching generation, build/timing, artifact hashes and authorized physical evidence. Do not relabel the historical bitstream.</t>
        </is>
      </c>
      <c r="K114" s="28" t="inlineStr">
        <is>
          <t>docs/reviews/phase1-baseline/README.md</t>
        </is>
      </c>
      <c r="L114" s="28" t="inlineStr">
        <is>
          <t>2026-10-17</t>
        </is>
      </c>
      <c r="M114" s="28" t="inlineStr">
        <is>
          <t>docs/reviews/phase1-baseline/README.md</t>
        </is>
      </c>
      <c r="N114" s="28" t="n"/>
    </row>
  </sheetData>
  <autoFilter ref="A1:N114"/>
  <conditionalFormatting sqref="F2:F10000">
    <cfRule type="expression" priority="1" dxfId="4">
      <formula>F2="Complete"</formula>
    </cfRule>
    <cfRule type="expression" priority="2" dxfId="5">
      <formula>F2="Blocked"</formula>
    </cfRule>
    <cfRule type="expression" priority="3" dxfId="5">
      <formula>F2="Failed"</formula>
    </cfRule>
    <cfRule type="expression" priority="4" dxfId="6">
      <formula>F2="Needs verification"</formula>
    </cfRule>
  </conditionalFormatting>
  <dataValidations count="2">
    <dataValidation sqref="F2:F10000" showDropDown="0" showInputMessage="0" showErrorMessage="1" allowBlank="0" errorTitle="Choose a listed value" error="Use the dropdown to preserve summary counts." type="list" errorStyle="stop">
      <formula1>"Open,Blocked,Not run,Needs verification,In progress,Complete,Failed,Out of scope"</formula1>
    </dataValidation>
    <dataValidation sqref="E2:E10000" showDropDown="0" showInputMessage="0" showErrorMessage="1" allowBlank="0" errorTitle="Choose a listed value" error="Use the dropdown to preserve summary counts." type="list" errorStyle="stop">
      <formula1>"Critical,High,Medium,Low"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style="14" min="1" max="1"/>
    <col width="48" customWidth="1" style="14" min="2" max="2"/>
    <col width="16" customWidth="1" style="14" min="3" max="3"/>
    <col width="16" customWidth="1" style="14" min="4" max="4"/>
  </cols>
  <sheetData>
    <row r="1">
      <c r="A1" s="27" t="inlineStr">
        <is>
          <t>Phase 1 completeness — evidence-based tracking</t>
        </is>
      </c>
      <c r="B1" s="27" t="inlineStr">
        <is>
          <t>Count / rate</t>
        </is>
      </c>
      <c r="C1" s="27" t="n"/>
      <c r="D1" s="27" t="n"/>
    </row>
    <row r="2" ht="48" customHeight="1" s="14">
      <c r="A2" s="28" t="inlineStr">
        <is>
          <t>Updated</t>
        </is>
      </c>
      <c r="B2" s="28" t="inlineStr">
        <is>
          <t>2026-10-17</t>
        </is>
      </c>
      <c r="C2" s="28" t="n"/>
      <c r="D2" s="28" t="n"/>
    </row>
    <row r="3" ht="48" customHeight="1" s="14">
      <c r="A3" s="28" t="inlineStr">
        <is>
          <t>Total tracked rows</t>
        </is>
      </c>
      <c r="B3" s="28">
        <f>COUNTA(Completeness!A2:A10000)</f>
        <v>113</v>
      </c>
      <c r="C3" s="28" t="n"/>
      <c r="D3" s="28" t="n"/>
    </row>
    <row r="4" ht="48" customHeight="1" s="14">
      <c r="A4" s="28" t="inlineStr">
        <is>
          <t>Open</t>
        </is>
      </c>
      <c r="B4" s="28">
        <f>COUNTIF(Completeness!F2:F10000,"Open")</f>
        <v>24</v>
      </c>
      <c r="C4" s="28" t="n"/>
      <c r="D4" s="28" t="n"/>
    </row>
    <row r="5" ht="48" customHeight="1" s="14">
      <c r="A5" s="28" t="inlineStr">
        <is>
          <t>Blocked</t>
        </is>
      </c>
      <c r="B5" s="28">
        <f>COUNTIF(Completeness!F2:F10000,"Blocked")</f>
        <v>6</v>
      </c>
      <c r="C5" s="28" t="n"/>
      <c r="D5" s="28" t="n"/>
    </row>
    <row r="6" ht="48" customHeight="1" s="14">
      <c r="A6" s="28" t="inlineStr">
        <is>
          <t>Not run</t>
        </is>
      </c>
      <c r="B6" s="28">
        <f>COUNTIF(Completeness!F2:F10000,"Not run")</f>
        <v>56</v>
      </c>
      <c r="C6" s="28" t="n"/>
      <c r="D6" s="28" t="n"/>
    </row>
    <row r="7" ht="48" customHeight="1" s="14">
      <c r="A7" s="28" t="inlineStr">
        <is>
          <t>Needs verification</t>
        </is>
      </c>
      <c r="B7" s="28">
        <f>COUNTIF(Completeness!F2:F10000,"Needs verification")</f>
        <v>24</v>
      </c>
      <c r="C7" s="28" t="n"/>
      <c r="D7" s="28" t="n"/>
    </row>
    <row r="8" ht="48" customHeight="1" s="14">
      <c r="A8" s="28" t="inlineStr">
        <is>
          <t>In progress</t>
        </is>
      </c>
      <c r="B8" s="28">
        <f>COUNTIF(Completeness!F2:F10000,"In progress")</f>
        <v>0</v>
      </c>
      <c r="C8" s="28" t="n"/>
      <c r="D8" s="28" t="n"/>
    </row>
    <row r="9" ht="48" customHeight="1" s="14">
      <c r="A9" s="28" t="inlineStr">
        <is>
          <t>Complete</t>
        </is>
      </c>
      <c r="B9" s="28">
        <f>COUNTIF(Completeness!F2:F10000,"Complete")</f>
        <v>2</v>
      </c>
      <c r="C9" s="28" t="n"/>
      <c r="D9" s="28" t="n"/>
    </row>
    <row r="10" ht="48" customHeight="1" s="14">
      <c r="A10" s="28" t="inlineStr">
        <is>
          <t>Failed</t>
        </is>
      </c>
      <c r="B10" s="28">
        <f>COUNTIF(Completeness!F2:F10000,"Failed")</f>
        <v>0</v>
      </c>
      <c r="C10" s="28" t="n"/>
      <c r="D10" s="28" t="n"/>
    </row>
    <row r="11" ht="48" customHeight="1" s="14">
      <c r="A11" s="28" t="inlineStr">
        <is>
          <t>Out of scope</t>
        </is>
      </c>
      <c r="B11" s="28">
        <f>COUNTIF(Completeness!F2:F10000,"Out of scope")</f>
        <v>1</v>
      </c>
      <c r="C11" s="28" t="n"/>
      <c r="D11" s="28" t="n"/>
    </row>
    <row r="12" ht="48" customHeight="1" s="14">
      <c r="A12" s="28" t="inlineStr">
        <is>
          <t>In-scope completion</t>
        </is>
      </c>
      <c r="B12" s="29">
        <f>IFERROR(COUNTIF(Completeness!F2:F10000,"Complete")/(COUNTA(Completeness!A2:A10000)-COUNTIF(Completeness!F2:F10000,"Out of scope")),0)</f>
        <v>0.017857142857142856</v>
      </c>
      <c r="C12" s="28" t="n"/>
      <c r="D12" s="28" t="n"/>
    </row>
    <row r="13" ht="48" customHeight="1" s="14">
      <c r="A13" s="28" t="inlineStr">
        <is>
          <t>Interpretation</t>
        </is>
      </c>
      <c r="B13" s="28" t="inlineStr">
        <is>
          <t>Counts of different items; each item has one status. Row completion is not ISA/security coverage.</t>
        </is>
      </c>
      <c r="C13" s="28" t="n"/>
      <c r="D13" s="28" t="n"/>
    </row>
    <row r="14" ht="48" customHeight="1" s="14">
      <c r="A14" s="28" t="inlineStr">
        <is>
          <t>Area</t>
        </is>
      </c>
      <c r="B14" s="28" t="inlineStr">
        <is>
          <t>Tracked</t>
        </is>
      </c>
      <c r="C14" s="28" t="inlineStr">
        <is>
          <t>Complete items</t>
        </is>
      </c>
      <c r="D14" s="28" t="inlineStr">
        <is>
          <t>Blocked items</t>
        </is>
      </c>
    </row>
    <row r="15" ht="48" customHeight="1" s="14">
      <c r="A15" s="28" t="inlineStr">
        <is>
          <t>CM objectives</t>
        </is>
      </c>
      <c r="B15" s="28">
        <f>COUNTIF(Completeness!B2:B10000,A15)</f>
        <v>8</v>
      </c>
      <c r="C15" s="28">
        <f>COUNTIFS(Completeness!B2:B10000,A15,Completeness!F2:F10000,"Complete")</f>
        <v>0</v>
      </c>
      <c r="D15" s="28">
        <f>COUNTIFS(Completeness!B2:B10000,A15,Completeness!F2:F10000,"Blocked")</f>
        <v>0</v>
      </c>
    </row>
    <row r="16" ht="48" customHeight="1" s="14">
      <c r="A16" s="28" t="inlineStr">
        <is>
          <t>Hardware acceptance</t>
        </is>
      </c>
      <c r="B16" s="28">
        <f>COUNTIF(Completeness!B2:B10000,A16)</f>
        <v>20</v>
      </c>
      <c r="C16" s="28">
        <f>COUNTIFS(Completeness!B2:B10000,A16,Completeness!F2:F10000,"Complete")</f>
        <v>0</v>
      </c>
      <c r="D16" s="28">
        <f>COUNTIFS(Completeness!B2:B10000,A16,Completeness!F2:F10000,"Blocked")</f>
        <v>0</v>
      </c>
    </row>
    <row r="17" ht="48" customHeight="1" s="14">
      <c r="A17" s="28" t="inlineStr">
        <is>
          <t>IDE</t>
        </is>
      </c>
      <c r="B17" s="28">
        <f>COUNTIF(Completeness!B2:B10000,A17)</f>
        <v>6</v>
      </c>
      <c r="C17" s="28">
        <f>COUNTIFS(Completeness!B2:B10000,A17,Completeness!F2:F10000,"Complete")</f>
        <v>1</v>
      </c>
      <c r="D17" s="28">
        <f>COUNTIFS(Completeness!B2:B10000,A17,Completeness!F2:F10000,"Blocked")</f>
        <v>0</v>
      </c>
    </row>
    <row r="18" ht="48" customHeight="1" s="14">
      <c r="A18" s="28" t="inlineStr">
        <is>
          <t>Mint gates</t>
        </is>
      </c>
      <c r="B18" s="28">
        <f>COUNTIF(Completeness!B2:B10000,A18)</f>
        <v>8</v>
      </c>
      <c r="C18" s="28">
        <f>COUNTIFS(Completeness!B2:B10000,A18,Completeness!F2:F10000,"Complete")</f>
        <v>0</v>
      </c>
      <c r="D18" s="28">
        <f>COUNTIFS(Completeness!B2:B10000,A18,Completeness!F2:F10000,"Blocked")</f>
        <v>0</v>
      </c>
    </row>
    <row r="19" ht="48" customHeight="1" s="14">
      <c r="A19" s="28" t="inlineStr">
        <is>
          <t>Missing functions</t>
        </is>
      </c>
      <c r="B19" s="28">
        <f>COUNTIF(Completeness!B2:B10000,A19)</f>
        <v>7</v>
      </c>
      <c r="C19" s="28">
        <f>COUNTIFS(Completeness!B2:B10000,A19,Completeness!F2:F10000,"Complete")</f>
        <v>0</v>
      </c>
      <c r="D19" s="28">
        <f>COUNTIFS(Completeness!B2:B10000,A19,Completeness!F2:F10000,"Blocked")</f>
        <v>4</v>
      </c>
    </row>
    <row r="20" ht="48" customHeight="1" s="14">
      <c r="A20" s="28" t="inlineStr">
        <is>
          <t>Named abstractions</t>
        </is>
      </c>
      <c r="B20" s="28">
        <f>COUNTIF(Completeness!B2:B10000,A20)</f>
        <v>12</v>
      </c>
      <c r="C20" s="28">
        <f>COUNTIFS(Completeness!B2:B10000,A20,Completeness!F2:F10000,"Complete")</f>
        <v>0</v>
      </c>
      <c r="D20" s="28">
        <f>COUNTIFS(Completeness!B2:B10000,A20,Completeness!F2:F10000,"Blocked")</f>
        <v>0</v>
      </c>
    </row>
    <row r="21" ht="48" customHeight="1" s="14">
      <c r="A21" s="28" t="inlineStr">
        <is>
          <t>Performance</t>
        </is>
      </c>
      <c r="B21" s="28">
        <f>COUNTIF(Completeness!B2:B10000,A21)</f>
        <v>6</v>
      </c>
      <c r="C21" s="28">
        <f>COUNTIFS(Completeness!B2:B10000,A21,Completeness!F2:F10000,"Complete")</f>
        <v>0</v>
      </c>
      <c r="D21" s="28">
        <f>COUNTIFS(Completeness!B2:B10000,A21,Completeness!F2:F10000,"Blocked")</f>
        <v>0</v>
      </c>
    </row>
    <row r="22" ht="48" customHeight="1" s="14">
      <c r="A22" s="28" t="inlineStr">
        <is>
          <t>RTL / bitstream</t>
        </is>
      </c>
      <c r="B22" s="28">
        <f>COUNTIF(Completeness!B2:B10000,A22)</f>
        <v>3</v>
      </c>
      <c r="C22" s="28">
        <f>COUNTIFS(Completeness!B2:B10000,A22,Completeness!F2:F10000,"Complete")</f>
        <v>0</v>
      </c>
      <c r="D22" s="28">
        <f>COUNTIFS(Completeness!B2:B10000,A22,Completeness!F2:F10000,"Blocked")</f>
        <v>0</v>
      </c>
    </row>
    <row r="23" ht="48" customHeight="1" s="14">
      <c r="A23" s="28" t="inlineStr">
        <is>
          <t>Seal storage</t>
        </is>
      </c>
      <c r="B23" s="28">
        <f>COUNTIF(Completeness!B2:B10000,A23)</f>
        <v>5</v>
      </c>
      <c r="C23" s="28">
        <f>COUNTIFS(Completeness!B2:B10000,A23,Completeness!F2:F10000,"Complete")</f>
        <v>0</v>
      </c>
      <c r="D23" s="28">
        <f>COUNTIFS(Completeness!B2:B10000,A23,Completeness!F2:F10000,"Blocked")</f>
        <v>1</v>
      </c>
    </row>
    <row r="24" ht="48" customHeight="1" s="14">
      <c r="A24" s="28" t="inlineStr">
        <is>
          <t>Simulator / ISA</t>
        </is>
      </c>
      <c r="B24" s="28">
        <f>COUNTIF(Completeness!B2:B10000,A24)</f>
        <v>5</v>
      </c>
      <c r="C24" s="28">
        <f>COUNTIFS(Completeness!B2:B10000,A24,Completeness!F2:F10000,"Complete")</f>
        <v>0</v>
      </c>
      <c r="D24" s="28">
        <f>COUNTIFS(Completeness!B2:B10000,A24,Completeness!F2:F10000,"Blocked")</f>
        <v>1</v>
      </c>
    </row>
    <row r="25" ht="48" customHeight="1" s="14">
      <c r="A25" s="28" t="inlineStr">
        <is>
          <t>Software acceptance</t>
        </is>
      </c>
      <c r="B25" s="28">
        <f>COUNTIF(Completeness!B2:B10000,A25)</f>
        <v>7</v>
      </c>
      <c r="C25" s="28">
        <f>COUNTIFS(Completeness!B2:B10000,A25,Completeness!F2:F10000,"Complete")</f>
        <v>0</v>
      </c>
      <c r="D25" s="28">
        <f>COUNTIFS(Completeness!B2:B10000,A25,Completeness!F2:F10000,"Blocked")</f>
        <v>0</v>
      </c>
    </row>
    <row r="26" ht="48" customHeight="1" s="14">
      <c r="A26" s="28" t="inlineStr">
        <is>
          <t>Specification</t>
        </is>
      </c>
      <c r="B26" s="28">
        <f>COUNTIF(Completeness!B2:B10000,A26)</f>
        <v>2</v>
      </c>
      <c r="C26" s="28">
        <f>COUNTIFS(Completeness!B2:B10000,A26,Completeness!F2:F10000,"Complete")</f>
        <v>1</v>
      </c>
      <c r="D26" s="28">
        <f>COUNTIFS(Completeness!B2:B10000,A26,Completeness!F2:F10000,"Blocked")</f>
        <v>0</v>
      </c>
    </row>
    <row r="27" ht="48" customHeight="1" s="14">
      <c r="A27" s="28" t="inlineStr">
        <is>
          <t>W7 security</t>
        </is>
      </c>
      <c r="B27" s="28">
        <f>COUNTIF(Completeness!B2:B10000,A27)</f>
        <v>15</v>
      </c>
      <c r="C27" s="28">
        <f>COUNTIFS(Completeness!B2:B10000,A27,Completeness!F2:F10000,"Complete")</f>
        <v>0</v>
      </c>
      <c r="D27" s="28">
        <f>COUNTIFS(Completeness!B2:B10000,A27,Completeness!F2:F10000,"Blocked")</f>
        <v>0</v>
      </c>
    </row>
    <row r="28">
      <c r="A28" s="28" t="inlineStr">
        <is>
          <t>Baseline audit</t>
        </is>
      </c>
      <c r="B28" s="28">
        <f>COUNTIF(Completeness!B2:B10000,A28)</f>
        <v>9</v>
      </c>
      <c r="C28" s="28">
        <f>COUNTIFS(Completeness!B2:B10000,A28,Completeness!F2:F10000,"Complete")</f>
        <v>0</v>
      </c>
      <c r="D28" s="28">
        <f>COUNTIFS(Completeness!B2:B10000,A28,Completeness!F2:F10000,"Blocked")</f>
        <v>0</v>
      </c>
    </row>
  </sheetData>
  <autoFilter ref="A1:D27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style="14" min="1" max="1"/>
    <col width="95" customWidth="1" style="14" min="2" max="2"/>
    <col width="16" customWidth="1" style="14" min="3" max="3"/>
    <col width="16" customWidth="1" style="14" min="4" max="4"/>
  </cols>
  <sheetData>
    <row r="1">
      <c r="A1" s="27" t="inlineStr">
        <is>
          <t>Rule</t>
        </is>
      </c>
      <c r="B1" s="27" t="inlineStr">
        <is>
          <t>Meaning</t>
        </is>
      </c>
    </row>
    <row r="2" ht="48" customHeight="1" s="14">
      <c r="A2" s="28" t="inlineStr">
        <is>
          <t>Purpose</t>
        </is>
      </c>
      <c r="B2" s="28" t="inlineStr">
        <is>
          <t>Expanded CTMM W7 completeness tracker; original Threat Map, Summary and Method retained without changed cells/formulas/styles.</t>
        </is>
      </c>
    </row>
    <row r="3" ht="48" customHeight="1" s="14">
      <c r="A3" s="28" t="inlineStr">
        <is>
          <t>Original claims</t>
        </is>
      </c>
      <c r="B3" s="28" t="inlineStr">
        <is>
          <t>Original Ratified/Proven labels are supplied claims, not newly verified findings. Original Summary covers only the 15 threats; Progress covers the new register.</t>
        </is>
      </c>
    </row>
    <row r="4" ht="48" customHeight="1" s="14">
      <c r="A4" s="28" t="inlineStr">
        <is>
          <t>Complete</t>
        </is>
      </c>
      <c r="B4" s="28" t="inlineStr">
        <is>
          <t>Closure criterion satisfied at its stated evidence level; cite dated reproducible evidence. Documentation completion is not hardware acceptance.</t>
        </is>
      </c>
    </row>
    <row r="5" ht="48" customHeight="1" s="14">
      <c r="A5" s="28" t="inlineStr">
        <is>
          <t>Needs verification</t>
        </is>
      </c>
      <c r="B5" s="28" t="inlineStr">
        <is>
          <t>Implementation, reported merge or failure exists, but current end-to-end acceptance/root cause has not been verified here.</t>
        </is>
      </c>
    </row>
    <row r="6" ht="48" customHeight="1" s="14">
      <c r="A6" s="28" t="inlineStr">
        <is>
          <t>Open / Blocked</t>
        </is>
      </c>
      <c r="B6" s="28" t="inlineStr">
        <is>
          <t>Open: work or decision remains. Blocked: prerequisite authority, contract or mechanism missing. Not run: defined objective with no qualifying run recorded.</t>
        </is>
      </c>
    </row>
    <row r="7" ht="48" customHeight="1" s="14">
      <c r="A7" s="28" t="inlineStr">
        <is>
          <t>No invented status</t>
        </is>
      </c>
      <c r="B7" s="28" t="inlineStr">
        <is>
          <t>No new simulator, RTL or hardware runs were performed to populate this workbook; workflow snapshot failures are leads, not confirmed current defects.</t>
        </is>
      </c>
    </row>
    <row r="8" ht="48" customHeight="1" s="14">
      <c r="A8" s="28" t="inlineStr">
        <is>
          <t>Maintaining progress</t>
        </is>
      </c>
      <c r="B8" s="28" t="inlineStr">
        <is>
          <t>Edit Completeness, assign Owner and Due date, add evidence, update Reviewed date and dependencies. Append rows within the Excel table; summaries cover rows 2–10000.</t>
        </is>
      </c>
    </row>
    <row r="9" ht="48" customHeight="1" s="14">
      <c r="A9" s="28" t="inlineStr">
        <is>
          <t>Evidence identity</t>
        </is>
      </c>
      <c r="B9" s="28" t="inlineStr">
        <is>
          <t>Record exact source, fixture/artifact, build/board, command, date, outcome and exclusions. Never put credentials, keys, proofs or private records in this workbook.</t>
        </is>
      </c>
    </row>
    <row r="10" ht="48" customHeight="1" s="14">
      <c r="A10" s="28" t="inlineStr">
        <is>
          <t>Scope</t>
        </is>
      </c>
      <c r="B10" s="28" t="inlineStr">
        <is>
          <t>Phase 1 hardware and software delivery are separate gates. Phase 2 networking remains out of scope. Proposed ECC and running-bit interfaces are not approved by this tracker.</t>
        </is>
      </c>
    </row>
    <row r="11" ht="48" customHeight="1" s="14">
      <c r="A11" s="28" t="inlineStr">
        <is>
          <t>Seal storage</t>
        </is>
      </c>
      <c r="B11" s="28" t="inlineStr">
        <is>
          <t>Reconcile authoritative seal semantics/storage with existing implementations; distinguish authenticity seals, public integrity checks, secret proof custody and ECC.</t>
        </is>
      </c>
    </row>
    <row r="12" ht="48" customHeight="1" s="14">
      <c r="A12" s="28" t="inlineStr">
        <is>
          <t>Calculations</t>
        </is>
      </c>
      <c r="B12" s="28" t="inlineStr">
        <is>
          <t>Excel/LibreOffice recalculates formulas on open. Python does not evaluate them. Completion percentage is unweighted row closure, not a security-confidence metric.</t>
        </is>
      </c>
    </row>
    <row r="13" ht="48" customHeight="1" s="14">
      <c r="A13" s="28" t="inlineStr">
        <is>
          <t>Source references</t>
        </is>
      </c>
      <c r="B13" s="28" t="inlineStr">
        <is>
          <t>Repository-relative source paths describe where to find requirements; they are not portable public URLs or runtime test evidence.</t>
        </is>
      </c>
    </row>
    <row r="14">
      <c r="A14" s="13" t="inlineStr">
        <is>
          <t>Baseline audit</t>
        </is>
      </c>
      <c r="B14" s="13" t="inlineStr">
        <is>
          <t>Nine root-cause groups. Workflow results are existing observations, not fresh reruns. Only the compiler dependency and read-only hash/binding probes were reproduced. See repository audit report.</t>
        </is>
      </c>
    </row>
    <row r="15" ht="80" customHeight="1" s="14">
      <c r="A15" s="13" t="inlineStr">
        <is>
          <t>Namespace authority</t>
        </is>
      </c>
      <c r="B15" s="28" t="inlineStr">
        <is>
          <t>Genesis-approved Namespace selection is authoritative. A manifest may index library/history files, but missing, archived or duplicate catalog rows cannot veto independently verified selected bytes. BASE-02 tracks the competing test requirement, not a request to repair approved selections.</t>
        </is>
      </c>
    </row>
  </sheetData>
  <autoFilter ref="A1:B13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14" min="1" max="1"/>
    <col width="26" customWidth="1" style="14" min="2" max="2"/>
    <col width="55" customWidth="1" style="14" min="3" max="3"/>
    <col width="95" customWidth="1" style="14" min="4" max="4"/>
    <col width="90" customWidth="1" style="14" min="5" max="5"/>
    <col width="55" customWidth="1" style="14" min="6" max="6"/>
  </cols>
  <sheetData>
    <row r="1">
      <c r="A1" s="27" t="inlineStr">
        <is>
          <t>ID</t>
        </is>
      </c>
      <c r="B1" s="27" t="inlineStr">
        <is>
          <t>Area</t>
        </is>
      </c>
      <c r="C1" s="27" t="inlineStr">
        <is>
          <t>Classification / confidence</t>
        </is>
      </c>
      <c r="D1" s="27" t="inlineStr">
        <is>
          <t>Observation</t>
        </is>
      </c>
      <c r="E1" s="27" t="inlineStr">
        <is>
          <t>Next action</t>
        </is>
      </c>
      <c r="F1" s="27" t="inlineStr">
        <is>
          <t>Related requirements</t>
        </is>
      </c>
    </row>
    <row r="2" ht="110" customHeight="1" s="14">
      <c r="A2" s="28" t="inlineStr">
        <is>
          <t>BASE-01</t>
        </is>
      </c>
      <c r="B2" s="28" t="inlineStr">
        <is>
          <t>Assembler/compiler</t>
        </is>
      </c>
      <c r="C2" s="28" t="inlineStr">
        <is>
          <t>Confirmed dependency-initialization failure; not an ISA verdict</t>
        </is>
      </c>
      <c r="D2" s="28" t="inlineStr">
        <is>
          <t>Existing assembler workflow throws TypeError: ChurchAssembler is not a constructor at compiler line 220. Fresh in-memory probe reproduces it with global assembler undefined; injecting the real constructor removes this exception (the sample still has one compile diagnostic).</t>
        </is>
      </c>
      <c r="E2" s="28" t="inlineStr">
        <is>
          <t>Establish explicit Node/compiler dependency setup and regression coverage; rerun isolated assembler suite before interpreting encoding failures. Do not weaken retired-opcode diagnostics.</t>
        </is>
      </c>
      <c r="F2" s="28" t="inlineStr">
        <is>
          <t>SIM-01; REL-03</t>
        </is>
      </c>
    </row>
    <row r="3" ht="110" customHeight="1" s="14">
      <c r="A3" s="28" t="inlineStr">
        <is>
          <t>BASE-02</t>
        </is>
      </c>
      <c r="B3" s="28" t="inlineStr">
        <is>
          <t>Namespace authority</t>
        </is>
      </c>
      <c r="C3" s="28" t="inlineStr">
        <is>
          <t>Test imposes a competing manifest-authority requirement</t>
        </is>
      </c>
      <c r="D3" s="28" t="inlineStr">
        <is>
          <t>Selected SelfTest has one active matching catalog row; selected WukongCallHome and CapabilityTest have zero. All three selected binary hashes match their files. Genesis confirms the approved Namespace list is authoritative; missing active catalog rows do not invalidate these selections. Hash agreement alone is not full execution qualification. Subsequent implementation: admission and R26 catalog veto removed; see docs/reviews/phase1-baseline/namespace-authority-progress.md</t>
        </is>
      </c>
      <c r="E3" s="28" t="inlineStr">
        <is>
          <t>Verify remaining save/preview/image consumers against Namespace authority. Preserve exact-byte and allocation checks; no catalog repair or reselection merely for archive flags.</t>
        </is>
      </c>
      <c r="F3" s="28" t="inlineStr">
        <is>
          <t>RES-SelfTest; RES-WukongCallHome; RES-CapabilityTest; IDE-03</t>
        </is>
      </c>
    </row>
    <row r="4" ht="110" customHeight="1" s="14">
      <c r="A4" s="28" t="inlineStr">
        <is>
          <t>BASE-03</t>
        </is>
      </c>
      <c r="B4" s="28" t="inlineStr">
        <is>
          <t>LUMP GT validator</t>
        </is>
      </c>
      <c r="C4" s="28" t="inlineStr">
        <is>
          <t>Legacy-oracle conflict; affected binary validity not established</t>
        </is>
      </c>
      <c r="D4" s="28" t="inlineStr">
        <is>
          <t>Four reported R22 failures use _gt_word0_violation, which declares bit 26 spare and rejects it. The test itself notes Abstract GT encodings use bits 26:25=11. The four reported cases are 04b2913d, 3b057bbb, Ethernet.1.b169bba4 and Ethernet.1.fc72b0e3.</t>
        </is>
      </c>
      <c r="E4" s="28" t="inlineStr">
        <is>
          <t>Classify each rejected word by approved type and permissions; replace the obsolete blanket rule only under the current contract. Do not declare all four artifacts valid just because the old rule is wrong.</t>
        </is>
      </c>
      <c r="F4" s="28" t="inlineStr">
        <is>
          <t>SIM-01; SEAL-02; REL-03</t>
        </is>
      </c>
    </row>
    <row r="5" ht="110" customHeight="1" s="14">
      <c r="A5" s="28" t="inlineStr">
        <is>
          <t>BASE-04</t>
        </is>
      </c>
      <c r="B5" s="28" t="inlineStr">
        <is>
          <t>Boot-image agreement</t>
        </is>
      </c>
      <c r="C5" s="28" t="inlineStr">
        <is>
          <t>Shared generator/fixture contract failure; root cause provisional</t>
        </is>
      </c>
      <c r="D5" s="28" t="inlineStr">
        <is>
          <t>All 18 reported failures stop at mandatory NS slot 2 is zeroed; 8 other cases passed. Tests build synthetic Boot.Abstr fixtures in temporary directories; generator still requires legacy slots (0,1,2,3,4,5,6,10). Agreement is not reached in these failed cases.</t>
        </is>
      </c>
      <c r="E5" s="28" t="inlineStr">
        <is>
          <t>Trace fixture selection, generation policy and validator mode in an isolated copy. Reconcile approved slot-2 entry versus legacy device/profile semantics; do not remove validation merely to pass tests.</t>
        </is>
      </c>
      <c r="F5" s="28" t="inlineStr">
        <is>
          <t>SIM-03; H10; H11; H12</t>
        </is>
      </c>
    </row>
    <row r="6" ht="110" customHeight="1" s="14">
      <c r="A6" s="28" t="inlineStr">
        <is>
          <t>BASE-05</t>
        </is>
      </c>
      <c r="B6" s="28" t="inlineStr">
        <is>
          <t>RTL boot/control</t>
        </is>
      </c>
      <c r="C6" s="28" t="inlineStr">
        <is>
          <t>Unresolved fixture/implementation/oracle failures</t>
        </is>
      </c>
      <c r="D6" s="28" t="inlineStr">
        <is>
          <t>Existing run: 8 failed, 46 passed. Failures cover SWITCH outcomes, delayed-fault issuer attribution, nested CALL/RETURN and saved-PC validation. No fresh RTL simulation was performed.</t>
        </is>
      </c>
      <c r="E6" s="28" t="inlineStr">
        <is>
          <t>Capture instruction words and pre-fault state, verify approved fixture encodings, then replay minimal isolated cases. Keep implementation defects possible until evidence excludes them.</t>
        </is>
      </c>
      <c r="F6" s="28" t="inlineStr">
        <is>
          <t>SIM-02; SIM-03; H05; H09; H18</t>
        </is>
      </c>
    </row>
    <row r="7" ht="110" customHeight="1" s="14">
      <c r="A7" s="28" t="inlineStr">
        <is>
          <t>BASE-06</t>
        </is>
      </c>
      <c r="B7" s="28" t="inlineStr">
        <is>
          <t>Generated initialization</t>
        </is>
      </c>
      <c r="C7" s="28" t="inlineStr">
        <is>
          <t>Reported generated-artifact/source mismatch; not freshly recomputed</t>
        </is>
      </c>
      <c r="D7" s="28" t="inlineStr">
        <is>
          <t>Existing guard: RTLIL init ROM 2693 entries versus Python source 2694; 1 failed, 25 passed in that suite.</t>
        </is>
      </c>
      <c r="E7" s="28" t="inlineStr">
        <is>
          <t>Freeze source and approved image first; then regenerate and qualify exact outputs under separate authorization. Do not equate a one-entry count fix with a qualified bitstream.</t>
        </is>
      </c>
      <c r="F7" s="28" t="inlineStr">
        <is>
          <t>REL-01; H19; H20</t>
        </is>
      </c>
    </row>
    <row r="8" ht="110" customHeight="1" s="14">
      <c r="A8" s="28" t="inlineStr">
        <is>
          <t>BASE-07</t>
        </is>
      </c>
      <c r="B8" s="28" t="inlineStr">
        <is>
          <t>SelfTest freshness</t>
        </is>
      </c>
      <c r="C8" s="28" t="inlineStr">
        <is>
          <t>Reported source/entry-format drift, not observed execution failure</t>
        </is>
      </c>
      <c r="D8" s="28" t="inlineStr">
        <is>
          <t>Selected SelfTest hash is intact. Existing freshness guard says instruction body MATCH, embedded text DIFFERENT, method-entry format DIFFERENT. The first failing command prevents the chained guard-test command from running.</t>
        </is>
      </c>
      <c r="E8" s="28" t="inlineStr">
        <is>
          <t>Independently inspect actual CALL dispatch/decoder behavior for the exact selected artifact before proposing replacement. Preserve the selected bytes and distinguish source freshness from execution compatibility.</t>
        </is>
      </c>
      <c r="F8" s="28" t="inlineStr">
        <is>
          <t>RES-SelfTest; SIM-05</t>
        </is>
      </c>
    </row>
    <row r="9" ht="110" customHeight="1" s="14">
      <c r="A9" s="28" t="inlineStr">
        <is>
          <t>BASE-08</t>
        </is>
      </c>
      <c r="B9" s="28" t="inlineStr">
        <is>
          <t>API reference suite</t>
        </is>
      </c>
      <c r="C9" s="28" t="inlineStr">
        <is>
          <t>Probable fixture/contract drift; not a fresh test result</t>
        </is>
      </c>
      <c r="D9" s="28" t="inlineStr">
        <is>
          <t>Existing run fails in test_abs_saved_api.js: compiled method declarations unavailable. The fixture invokes _formatLumpApiDefinition('LED', []); failure occurs before the advertised reference comparison completes.</t>
        </is>
      </c>
      <c r="E9" s="28" t="inlineStr">
        <is>
          <t>Supply authentic compiled metadata in the fixture, or establish why valid metadata is lost; retain fail-closed refusal to infer API from another LUMP.</t>
        </is>
      </c>
      <c r="F9" s="28" t="inlineStr">
        <is>
          <t>IDE-06; REL-03</t>
        </is>
      </c>
    </row>
    <row r="10" ht="110" customHeight="1" s="14">
      <c r="A10" s="28" t="inlineStr">
        <is>
          <t>BASE-09</t>
        </is>
      </c>
      <c r="B10" s="28" t="inlineStr">
        <is>
          <t>Bitstream provenance</t>
        </is>
      </c>
      <c r="C10" s="28" t="inlineStr">
        <is>
          <t>Confirmed current-source drift from recorded build</t>
        </is>
      </c>
      <c r="D10" s="28" t="inlineStr">
        <is>
          <t>Fresh hash comparison finds 22 of 39 recorded input fingerprints differ from current files. The record's historical “verified” label is not qualification of today's source.</t>
        </is>
      </c>
      <c r="E10" s="28" t="inlineStr">
        <is>
          <t>Freeze the candidate source/configuration; obtain matching generation, build/timing, artifact hashes and authorized physical evidence. Do not relabel the historical bitstream.</t>
        </is>
      </c>
      <c r="F10" s="28" t="inlineStr">
        <is>
          <t>REL-01; REL-02; CM-H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2026-10-16T19:37:50Z</dcterms:created>
  <dcterms:modified xsi:type="dcterms:W3CDTF">2026-10-17T16:14:24Z</dcterms:modified>
  <cp:revision>0</cp:revision>
</cp:coreProperties>
</file>