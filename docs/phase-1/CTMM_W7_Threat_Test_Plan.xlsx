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  <sheet name="Baseline audit" sheetId="7" state="visible" r:id="rId7"/>
  </sheets>
  <definedNames>
    <definedName name="_xlnm._FilterDatabase" localSheetId="0" hidden="1">'Threat Map'!$A$5:$M$20</definedName>
    <definedName name="_xlnm._FilterDatabase" localSheetId="3" hidden="1">'Completeness'!$A$1:$N$114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  <definedName name="_xlnm.Print_Titles" localSheetId="6">'Baseline audit'!$1:$1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14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ables/table2.xml><?xml version="1.0" encoding="utf-8"?>
<table xmlns="http://schemas.openxmlformats.org/spreadsheetml/2006/main" id="2" name="BaselineAudit" displayName="BaselineAudit" ref="A1:F10" headerRowCount="1">
  <autoFilter ref="A1:F10"/>
  <tableColumns count="6">
    <tableColumn id="1" name="ID"/>
    <tableColumn id="2" name="Area"/>
    <tableColumn id="3" name="Classification / confidence"/>
    <tableColumn id="4" name="Observation"/>
    <tableColumn id="5" name="Next action"/>
    <tableColumn id="6" name="Related requirements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1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Not run</t>
        </is>
      </c>
      <c r="G2" s="28" t="inlineStr">
        <is>
          <t>Unassigned</t>
        </is>
      </c>
      <c r="H2" s="28" t="inlineStr"/>
      <c r="I2" s="28" t="inlineStr">
        <is>
          <t>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</t>
        </is>
      </c>
      <c r="K2" s="28" t="inlineStr">
        <is>
          <t>Workbook: Threat Map row 6; docs/phase-1/W7-plus-plus-test-objectives.md</t>
        </is>
      </c>
      <c r="L2" s="28" t="inlineStr">
        <is>
          <t>2026-10-17</t>
        </is>
      </c>
      <c r="M2" s="28" t="n"/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Not run</t>
        </is>
      </c>
      <c r="G3" s="28" t="inlineStr">
        <is>
          <t>Unassigned</t>
        </is>
      </c>
      <c r="H3" s="28" t="inlineStr"/>
      <c r="I3" s="28" t="inlineStr">
        <is>
          <t>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</t>
        </is>
      </c>
      <c r="K3" s="28" t="inlineStr">
        <is>
          <t>Workbook: Threat Map row 7; docs/phase-1/W7-plus-plus-test-objectives.md</t>
        </is>
      </c>
      <c r="L3" s="28" t="inlineStr">
        <is>
          <t>2026-10-17</t>
        </is>
      </c>
      <c r="M3" s="28" t="n"/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</t>
        </is>
      </c>
      <c r="K4" s="28" t="inlineStr">
        <is>
          <t>Workbook: Threat Map row 8; docs/phase-1/W7-plus-plus-test-objectives.md</t>
        </is>
      </c>
      <c r="L4" s="28" t="inlineStr">
        <is>
          <t>2026-10-17</t>
        </is>
      </c>
      <c r="M4" s="28" t="n"/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Not run</t>
        </is>
      </c>
      <c r="G5" s="28" t="inlineStr">
        <is>
          <t>Unassigned</t>
        </is>
      </c>
      <c r="H5" s="28" t="inlineStr"/>
      <c r="I5" s="28" t="inlineStr">
        <is>
          <t>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</t>
        </is>
      </c>
      <c r="K5" s="28" t="inlineStr">
        <is>
          <t>Workbook: Threat Map row 9; docs/phase-1/W7-plus-plus-test-objectives.md</t>
        </is>
      </c>
      <c r="L5" s="28" t="inlineStr">
        <is>
          <t>2026-10-17</t>
        </is>
      </c>
      <c r="M5" s="28" t="n"/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Not run</t>
        </is>
      </c>
      <c r="G6" s="28" t="inlineStr">
        <is>
          <t>Unassigned</t>
        </is>
      </c>
      <c r="H6" s="28" t="inlineStr"/>
      <c r="I6" s="28" t="inlineStr">
        <is>
          <t>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</t>
        </is>
      </c>
      <c r="K6" s="28" t="inlineStr">
        <is>
          <t>Workbook: Threat Map row 10; docs/phase-1/W7-plus-plus-test-objectives.md</t>
        </is>
      </c>
      <c r="L6" s="28" t="inlineStr">
        <is>
          <t>2026-10-17</t>
        </is>
      </c>
      <c r="M6" s="28" t="n"/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Not run</t>
        </is>
      </c>
      <c r="G7" s="28" t="inlineStr">
        <is>
          <t>Unassigned</t>
        </is>
      </c>
      <c r="H7" s="28" t="inlineStr"/>
      <c r="I7" s="28" t="inlineStr">
        <is>
          <t>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</t>
        </is>
      </c>
      <c r="K7" s="28" t="inlineStr">
        <is>
          <t>Workbook: Threat Map row 11; docs/phase-1/W7-plus-plus-test-objectives.md</t>
        </is>
      </c>
      <c r="L7" s="28" t="inlineStr">
        <is>
          <t>2026-10-17</t>
        </is>
      </c>
      <c r="M7" s="28" t="n"/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Not run</t>
        </is>
      </c>
      <c r="G8" s="28" t="inlineStr">
        <is>
          <t>Unassigned</t>
        </is>
      </c>
      <c r="H8" s="28" t="inlineStr"/>
      <c r="I8" s="28" t="inlineStr">
        <is>
          <t>Original workbook claim, not independently qualified. See original row.</t>
        </is>
      </c>
      <c r="J8" s="28" t="inlineStr">
        <is>
          <t>Evict, reload, compare authority: identical; no file-system path involved. Coverage: Round-trip every lump type</t>
        </is>
      </c>
      <c r="K8" s="28" t="inlineStr">
        <is>
          <t>Workbook: Threat Map row 12; docs/phase-1/W7-plus-plus-test-objectives.md</t>
        </is>
      </c>
      <c r="L8" s="28" t="inlineStr">
        <is>
          <t>2026-10-17</t>
        </is>
      </c>
      <c r="M8" s="28" t="n"/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</t>
        </is>
      </c>
      <c r="K9" s="28" t="inlineStr">
        <is>
          <t>Workbook: Threat Map row 13; docs/phase-1/W7-plus-plus-test-objectives.md</t>
        </is>
      </c>
      <c r="L9" s="28" t="inlineStr">
        <is>
          <t>2026-10-17</t>
        </is>
      </c>
      <c r="M9" s="28" t="n"/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Not run</t>
        </is>
      </c>
      <c r="G10" s="28" t="inlineStr">
        <is>
          <t>Unassigned</t>
        </is>
      </c>
      <c r="H10" s="28" t="inlineStr"/>
      <c r="I10" s="28" t="inlineStr">
        <is>
          <t>Original workbook claim, not independently qualified. See original row.</t>
        </is>
      </c>
      <c r="J10" s="28" t="inlineStr">
        <is>
          <t>Callee retains its return path and invokes it twice; second call faults. Coverage: All return paths</t>
        </is>
      </c>
      <c r="K10" s="28" t="inlineStr">
        <is>
          <t>Workbook: Threat Map row 14; docs/phase-1/W7-plus-plus-test-objectives.md</t>
        </is>
      </c>
      <c r="L10" s="28" t="inlineStr">
        <is>
          <t>2026-10-17</t>
        </is>
      </c>
      <c r="M10" s="28" t="n"/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Original workbook claim, not independently qualified. See original row.</t>
        </is>
      </c>
      <c r="J11" s="28" t="inlineStr">
        <is>
          <t>Racing writers to a shared lump: serialized or faulted. Coverage: Randomised interleavings</t>
        </is>
      </c>
      <c r="K11" s="28" t="inlineStr">
        <is>
          <t>Workbook: Threat Map row 15; docs/phase-1/W7-plus-plus-test-objectives.md</t>
        </is>
      </c>
      <c r="L11" s="28" t="inlineStr">
        <is>
          <t>2026-10-17</t>
        </is>
      </c>
      <c r="M11" s="28" t="n"/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Not run</t>
        </is>
      </c>
      <c r="G12" s="28" t="inlineStr">
        <is>
          <t>Unassigned</t>
        </is>
      </c>
      <c r="H12" s="28" t="inlineStr"/>
      <c r="I12" s="28" t="inlineStr">
        <is>
          <t>Original workbook claim, not independently qualified. See original row.</t>
        </is>
      </c>
      <c r="J12" s="28" t="inlineStr">
        <is>
          <t>Every invocation attributable to originating womb. Coverage: Trace every call chain in test suite</t>
        </is>
      </c>
      <c r="K12" s="28" t="inlineStr">
        <is>
          <t>Workbook: Threat Map row 16; docs/phase-1/W7-plus-plus-test-objectives.md</t>
        </is>
      </c>
      <c r="L12" s="28" t="inlineStr">
        <is>
          <t>2026-10-17</t>
        </is>
      </c>
      <c r="M12" s="28" t="n"/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Not run</t>
        </is>
      </c>
      <c r="G13" s="28" t="inlineStr">
        <is>
          <t>Unassigned</t>
        </is>
      </c>
      <c r="H13" s="28" t="inlineStr"/>
      <c r="I13" s="28" t="inlineStr">
        <is>
          <t>Original workbook claim, not independently qualified. See original row.</t>
        </is>
      </c>
      <c r="J13" s="28" t="inlineStr">
        <is>
          <t>Reachability: callee holds no outward write authority at entry. Coverage: Closure over callee c-list</t>
        </is>
      </c>
      <c r="K13" s="28" t="inlineStr">
        <is>
          <t>Workbook: Threat Map row 17; docs/phase-1/W7-plus-plus-test-objectives.md</t>
        </is>
      </c>
      <c r="L13" s="28" t="inlineStr">
        <is>
          <t>2026-10-17</t>
        </is>
      </c>
      <c r="M13" s="28" t="n"/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Original workbook claim, not independently qualified. See original row.</t>
        </is>
      </c>
      <c r="J14" s="28" t="inlineStr">
        <is>
          <t>— Coverage: —</t>
        </is>
      </c>
      <c r="K14" s="28" t="inlineStr">
        <is>
          <t>Workbook: Threat Map row 18; docs/phase-1/W7-plus-plus-test-objectives.md</t>
        </is>
      </c>
      <c r="L14" s="28" t="inlineStr">
        <is>
          <t>2026-10-17</t>
        </is>
      </c>
      <c r="M14" s="28" t="n"/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Original workbook claim, not independently qualified. See original row.</t>
        </is>
      </c>
      <c r="J15" s="28" t="inlineStr">
        <is>
          <t>— Coverage: Reproducible bitstreams narrow, do not close</t>
        </is>
      </c>
      <c r="K15" s="28" t="inlineStr">
        <is>
          <t>Workbook: Threat Map row 19; docs/phase-1/W7-plus-plus-test-objectives.md</t>
        </is>
      </c>
      <c r="L15" s="28" t="inlineStr">
        <is>
          <t>2026-10-17</t>
        </is>
      </c>
      <c r="M15" s="28" t="n"/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Original workbook claim, not independently qualified. See original row.</t>
        </is>
      </c>
      <c r="J16" s="28" t="inlineStr">
        <is>
          <t>— Coverage: —</t>
        </is>
      </c>
      <c r="K16" s="28" t="inlineStr">
        <is>
          <t>Workbook: Threat Map row 20; docs/phase-1/W7-plus-plus-test-objectives.md</t>
        </is>
      </c>
      <c r="L16" s="28" t="inlineStr">
        <is>
          <t>2026-10-17</t>
        </is>
      </c>
      <c r="M16" s="28" t="n"/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inlineStr">
        <is>
          <t>BASE-05: docs/reviews/phase1-baseline/README.md</t>
        </is>
      </c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inlineStr">
        <is>
          <t>BASE-05: docs/reviews/phase1-baseline/README.md</t>
        </is>
      </c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inlineStr">
        <is>
          <t>BASE-04: docs/reviews/phase1-baseline/README.md</t>
        </is>
      </c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inlineStr">
        <is>
          <t>BASE-04: docs/reviews/phase1-baseline/README.md</t>
        </is>
      </c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inlineStr">
        <is>
          <t>BASE-04: docs/reviews/phase1-baseline/README.md</t>
        </is>
      </c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inlineStr">
        <is>
          <t>BASE-05: docs/reviews/phase1-baseline/README.md</t>
        </is>
      </c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Not run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Defined objective; full acceptance not established by this tracker.</t>
        </is>
      </c>
      <c r="J35" s="28" t="inlineStr">
        <is>
          <t>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2026-10-17</t>
        </is>
      </c>
      <c r="M35" s="28" t="inlineStr">
        <is>
          <t>BASE-06: docs/reviews/phase1-baseline/README.md</t>
        </is>
      </c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Not run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Defined objective; full acceptance not established by this tracker.</t>
        </is>
      </c>
      <c r="J36" s="28" t="inlineStr">
        <is>
          <t>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2026-10-17</t>
        </is>
      </c>
      <c r="M36" s="28" t="inlineStr">
        <is>
          <t>BASE-06: docs/reviews/phase1-baseline/README.md</t>
        </is>
      </c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Not run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Defined objective; full acceptance not established by this tracker.</t>
        </is>
      </c>
      <c r="J41" s="28" t="inlineStr"/>
      <c r="K41" s="28" t="inlineStr">
        <is>
          <t>docs/phase-1/04-release/isa-to-fpga-alignment-plan.md</t>
        </is>
      </c>
      <c r="L41" s="28" t="inlineStr">
        <is>
          <t>2026-10-17</t>
        </is>
      </c>
      <c r="M41" s="28" t="n"/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Not run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</t>
        </is>
      </c>
      <c r="K44" s="28" t="inlineStr">
        <is>
          <t>docs/phase-1/W7-plus-plus-test-objectives.md</t>
        </is>
      </c>
      <c r="L44" s="28" t="inlineStr">
        <is>
          <t>2026-10-17</t>
        </is>
      </c>
      <c r="M44" s="28" t="n"/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Not run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Defined objective; full acceptance not established by this tracker.</t>
        </is>
      </c>
      <c r="J51" s="28" t="inlineStr">
        <is>
          <t>Attach the actual LUMP/configuration and implementation identities to results; hardware claims identify the tested bitstream and board. Mark differences from simulator-only coverage.</t>
        </is>
      </c>
      <c r="K51" s="28" t="inlineStr">
        <is>
          <t>docs/phase-1/W7-plus-plus-test-objectives.md</t>
        </is>
      </c>
      <c r="L51" s="28" t="inlineStr">
        <is>
          <t>2026-10-17</t>
        </is>
      </c>
      <c r="M51" s="28" t="inlineStr">
        <is>
          <t>BASE-09: docs/reviews/phase1-baseline/README.md</t>
        </is>
      </c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</t>
        </is>
      </c>
      <c r="K58" s="28" t="inlineStr">
        <is>
          <t>docs/reviews/mint-phase1/open-issues.md</t>
        </is>
      </c>
      <c r="L58" s="28" t="inlineStr">
        <is>
          <t>2026-10-17</t>
        </is>
      </c>
      <c r="M58" s="28" t="n"/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</t>
        </is>
      </c>
      <c r="K61" s="28" t="inlineStr">
        <is>
          <t>docs/reviews/mint-phase1/open-issues.md</t>
        </is>
      </c>
      <c r="L61" s="28" t="inlineStr">
        <is>
          <t>2026-10-17</t>
        </is>
      </c>
      <c r="M61" s="28" t="n"/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</t>
        </is>
      </c>
      <c r="K62" s="28" t="inlineStr">
        <is>
          <t>docs/reviews/mint-phase1/open-issues.md</t>
        </is>
      </c>
      <c r="L62" s="28" t="inlineStr">
        <is>
          <t>2026-10-17</t>
        </is>
      </c>
      <c r="M62" s="28" t="n"/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</t>
        </is>
      </c>
      <c r="K64" s="28" t="inlineStr">
        <is>
          <t>docs/reviews/mint-phase1/open-issues.md</t>
        </is>
      </c>
      <c r="L64" s="28" t="inlineStr">
        <is>
          <t>2026-10-17</t>
        </is>
      </c>
      <c r="M64" s="28" t="n"/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</t>
        </is>
      </c>
      <c r="K69" s="28" t="inlineStr">
        <is>
          <t>simulator/test_editor_roundtrip.js</t>
        </is>
      </c>
      <c r="L69" s="28" t="inlineStr">
        <is>
          <t>2026-10-17</t>
        </is>
      </c>
      <c r="M69" s="28" t="n"/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Complete</t>
        </is>
      </c>
      <c r="G70" s="28" t="inlineStr">
        <is>
          <t>Unassigned</t>
        </is>
      </c>
      <c r="H70" s="28" t="inlineStr"/>
      <c r="I70" s="28" t="inlineStr">
        <is>
          <t>Verified: 35 extracted-route tests; 4 real isolated endpoint acceptance tests; browser cancellation/resident save-reload/stale-tab checks, then targeted passing boot and incomplete-design follow-up after exact-revision UI repair. Complete saved rows/layout/identity and protected hashes checked; all 1,280 live files byte-identical. No runtime integrity checks weakened.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inlineStr">
        <is>
          <t>docs/reviews/phase1-baseline/namespace-authority-progress.md#final-closure-evidence; scripts/run_namespace_save_acceptance.py; tests/e2e/namespace_save_acceptance.spec.js</t>
        </is>
      </c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Selected-file errors now distinguish unreadable and changed bytes and provide a corrective action. Integrated UI and executed-artifact freshness still need verification.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inlineStr">
        <is>
          <t>docs/reviews/phase1-baseline/namespace-authority-progress.md</t>
        </is>
      </c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</t>
        </is>
      </c>
      <c r="K73" s="28" t="inlineStr">
        <is>
          <t>docs/phase-1/01-isa/instruction-set.md</t>
        </is>
      </c>
      <c r="L73" s="28" t="inlineStr">
        <is>
          <t>2026-10-17</t>
        </is>
      </c>
      <c r="M73" s="28" t="inlineStr">
        <is>
          <t>BASE-08: docs/reviews/phase1-baseline/README.md</t>
        </is>
      </c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G1 finds entry/continuation mismatch and unproven result authority.</t>
        </is>
      </c>
      <c r="J75" s="28" t="inlineStr">
        <is>
          <t>Resolve ISA contract; prove legal binding and result LOAD through real gates.</t>
        </is>
      </c>
      <c r="K75" s="28" t="inlineStr">
        <is>
          <t>docs/reviews/mint-phase1/context-feasibility.md</t>
        </is>
      </c>
      <c r="L75" s="28" t="inlineStr">
        <is>
          <t>2026-10-17</t>
        </is>
      </c>
      <c r="M75" s="28" t="n"/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Exact-byte checks retained independently of catalog status; pending bytes, changed files and immutable local derivatives tested. Full seal/replay/field coverage not established.</t>
        </is>
      </c>
      <c r="J82" s="28" t="inlineStr">
        <is>
          <t>Reject tampering, stale/replayed seals and mismatched artifact/slot/generation; prove every covered field and permitted F/G mutation.</t>
        </is>
      </c>
      <c r="K82" s="28" t="inlineStr">
        <is>
          <t>docs/reviews/mint-phase1/namespace-update.md</t>
        </is>
      </c>
      <c r="L82" s="28" t="inlineStr">
        <is>
          <t>2026-10-17</t>
        </is>
      </c>
      <c r="M82" s="28" t="inlineStr">
        <is>
          <t>BASE-03: docs/reviews/phase1-baseline/README.md; docs/reviews/phase1-baseline/namespace-authority-progress.md</t>
        </is>
      </c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</t>
        </is>
      </c>
      <c r="K83" s="28" t="inlineStr">
        <is>
          <t>docs/reviews/mint-phase1/namespace-update.md</t>
        </is>
      </c>
      <c r="L83" s="28" t="inlineStr">
        <is>
          <t>2026-10-17</t>
        </is>
      </c>
      <c r="M83" s="28" t="n"/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</t>
        </is>
      </c>
      <c r="K86" s="28" t="inlineStr">
        <is>
          <t>docs/phase-1/01-isa/instruction-set.md</t>
        </is>
      </c>
      <c r="L86" s="28" t="inlineStr">
        <is>
          <t>2026-10-17</t>
        </is>
      </c>
      <c r="M86" s="28" t="inlineStr">
        <is>
          <t>BASE-01: docs/reviews/phase1-baseline/README.md; BASE-03: docs/reviews/phase1-baseline/README.md</t>
        </is>
      </c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inlineStr">
        <is>
          <t>BASE-05: docs/reviews/phase1-baseline/README.md</t>
        </is>
      </c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Current fixtures and legacy saved image layouts differ; no silent binary reinterpretation.</t>
        </is>
      </c>
      <c r="J88" s="28" t="inlineStr">
        <is>
          <t>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2026-10-17</t>
        </is>
      </c>
      <c r="M88" s="28" t="inlineStr">
        <is>
          <t>BASE-04: docs/reviews/phase1-baseline/README.md; BASE-05: docs/reviews/phase1-baseline/README.md</t>
        </is>
      </c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Elapsed board clocks cannot be inferred from browser step speed.</t>
        </is>
      </c>
      <c r="J89" s="28" t="inlineStr">
        <is>
          <t>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2026-10-17</t>
        </is>
      </c>
      <c r="M89" s="28" t="n"/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</t>
        </is>
      </c>
      <c r="K90" s="28" t="inlineStr">
        <is>
          <t>simulator/test_alice_mallory_lab.js</t>
        </is>
      </c>
      <c r="L90" s="28" t="inlineStr">
        <is>
          <t>2026-10-17</t>
        </is>
      </c>
      <c r="M90" s="28" t="inlineStr">
        <is>
          <t>BASE-07: docs/reviews/phase1-baseline/README.md</t>
        </is>
      </c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Open</t>
        </is>
      </c>
      <c r="G91" s="28" t="inlineStr">
        <is>
          <t>Unassigned</t>
        </is>
      </c>
      <c r="H91" s="28" t="inlineStr"/>
      <c r="I91" s="28" t="inlineStr">
        <is>
          <t>Prior inspection found 22/39 recorded build inputs differ; this is not a new build verification.</t>
        </is>
      </c>
      <c r="J91" s="28" t="inlineStr">
        <is>
          <t>Regenerate authorized exact inputs; verify hashes, ROM/configuration, timing, DRC and artifact sidecars.</t>
        </is>
      </c>
      <c r="K91" s="28" t="inlineStr">
        <is>
          <t>docs/wukong-release-chain.md</t>
        </is>
      </c>
      <c r="L91" s="28" t="inlineStr">
        <is>
          <t>2026-10-17</t>
        </is>
      </c>
      <c r="M91" s="28" t="inlineStr">
        <is>
          <t>BASE-06: docs/reviews/phase1-baseline/README.md; BASE-09: docs/reviews/phase1-baseline/README.md</t>
        </is>
      </c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Not run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No physical Phase 1 acceptance performed for this tracker.</t>
        </is>
      </c>
      <c r="J92" s="28" t="inlineStr">
        <is>
          <t>After separate authorization, run H19/H20 with exact board/build identity and retained raw observations.</t>
        </is>
      </c>
      <c r="K92" s="28" t="inlineStr">
        <is>
          <t>docs/phase-1/04-release/isa-to-fpga-alignment-plan.md</t>
        </is>
      </c>
      <c r="L92" s="28" t="inlineStr">
        <is>
          <t>2026-10-17</t>
        </is>
      </c>
      <c r="M92" s="28" t="inlineStr">
        <is>
          <t>BASE-09: docs/reviews/phase1-baseline/README.md</t>
        </is>
      </c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Fresh R26 selected-bytes check passes; ADD-modal 36/36. Admission suite: 17 passed, 1 copied boot-fixture allocation failure. Broader diagnostic run had 91 passed/46 failed including isolation/setup failures; not release qualification.</t>
        </is>
      </c>
      <c r="J93" s="28" t="inlineStr">
        <is>
          <t>Isolate current failures, classify stale fixtures versus defects; record commands, output, identities and reruns.</t>
        </is>
      </c>
      <c r="K93" s="28" t="inlineStr">
        <is>
          <t>scripts/run-all-tests.sh</t>
        </is>
      </c>
      <c r="L93" s="28" t="inlineStr">
        <is>
          <t>2026-10-17</t>
        </is>
      </c>
      <c r="M93" s="28" t="inlineStr">
        <is>
          <t>BASE-01: docs/reviews/phase1-baseline/README.md; BASE-03: docs/reviews/phase1-baseline/README.md; BASE-08: docs/reviews/phase1-baseline/README.md; docs/reviews/phase1-baseline/namespace-authority-progress.md</t>
        </is>
      </c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inlineStr">
        <is>
          <t>BASE-02: docs/reviews/phase1-baseline/README.md; BASE-07: docs/reviews/phase1-baseline/README.md</t>
        </is>
      </c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inlineStr">
        <is>
          <t>BASE-02: docs/reviews/phase1-baseline/README.md</t>
        </is>
      </c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inlineStr">
        <is>
          <t>BASE-02: docs/reviews/phase1-baseline/README.md</t>
        </is>
      </c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</t>
        </is>
      </c>
      <c r="K101" s="28" t="inlineStr">
        <is>
          <t>server/lumps/ns-state.json; docs/reviews/mint-phase1/open-issues.md</t>
        </is>
      </c>
      <c r="L101" s="28" t="inlineStr">
        <is>
          <t>2026-10-17</t>
        </is>
      </c>
      <c r="M101" s="28" t="n"/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</t>
        </is>
      </c>
      <c r="K104" s="28" t="inlineStr">
        <is>
          <t>simulator/test_alice_mallory_lab.js; simulator/test_alice_mallory_tuple_lab.js</t>
        </is>
      </c>
      <c r="L104" s="28" t="inlineStr">
        <is>
          <t>2026-10-17</t>
        </is>
      </c>
      <c r="M104" s="28" t="n"/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</t>
        </is>
      </c>
      <c r="K105" s="28" t="inlineStr">
        <is>
          <t>simulator/test_alice_mallory_lab.js; simulator/test_alice_mallory_tuple_lab.js</t>
        </is>
      </c>
      <c r="L105" s="28" t="inlineStr">
        <is>
          <t>2026-10-17</t>
        </is>
      </c>
      <c r="M105" s="28" t="n"/>
      <c r="N105" s="28" t="n"/>
    </row>
    <row r="106" ht="100" customHeight="1" s="14">
      <c r="A106" s="28" t="inlineStr">
        <is>
          <t>BASE-01</t>
        </is>
      </c>
      <c r="B106" s="28" t="inlineStr">
        <is>
          <t>Baseline audit</t>
        </is>
      </c>
      <c r="C106" s="28" t="inlineStr">
        <is>
          <t>Assembler/compiler</t>
        </is>
      </c>
      <c r="D106" s="28" t="inlineStr">
        <is>
          <t>Phase 1 assurance</t>
        </is>
      </c>
      <c r="E106" s="28" t="inlineStr">
        <is>
          <t>High</t>
        </is>
      </c>
      <c r="F106" s="28" t="inlineStr">
        <is>
          <t>Open</t>
        </is>
      </c>
      <c r="G106" s="28" t="inlineStr">
        <is>
          <t>Unassigned</t>
        </is>
      </c>
      <c r="H106" s="28" t="inlineStr">
        <is>
          <t>SIM-01; REL-03</t>
        </is>
      </c>
      <c r="I106" s="28" t="inlineStr">
        <is>
          <t>Confirmed dependency-initialization failure; not an ISA verdict. 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J106" s="28" t="inlineStr">
        <is>
          <t>Establish explicit Node/compiler dependency setup and regression coverage; rerun isolated assembler suite before interpreting encoding failures. Do not weaken retired-opcode diagnostics.</t>
        </is>
      </c>
      <c r="K106" s="28" t="inlineStr">
        <is>
          <t>docs/reviews/phase1-baseline/README.md</t>
        </is>
      </c>
      <c r="L106" s="28" t="inlineStr">
        <is>
          <t>2026-10-17</t>
        </is>
      </c>
      <c r="M106" s="28" t="inlineStr">
        <is>
          <t>docs/reviews/phase1-baseline/README.md</t>
        </is>
      </c>
      <c r="N106" s="28" t="n"/>
    </row>
    <row r="107" ht="100" customHeight="1" s="14">
      <c r="A107" s="28" t="inlineStr">
        <is>
          <t>BASE-02</t>
        </is>
      </c>
      <c r="B107" s="28" t="inlineStr">
        <is>
          <t>Baseline audit</t>
        </is>
      </c>
      <c r="C107" s="28" t="inlineStr">
        <is>
          <t>Namespace authority</t>
        </is>
      </c>
      <c r="D107" s="28" t="inlineStr">
        <is>
          <t>Phase 1 assurance</t>
        </is>
      </c>
      <c r="E107" s="28" t="inlineStr">
        <is>
          <t>High</t>
        </is>
      </c>
      <c r="F107" s="28" t="inlineStr">
        <is>
          <t>Needs verification</t>
        </is>
      </c>
      <c r="G107" s="28" t="inlineStr">
        <is>
          <t>Unassigned</t>
        </is>
      </c>
      <c r="H107" s="28" t="inlineStr">
        <is>
          <t>RES-SelfTest; RES-WukongCallHome; RES-CapabilityTest; IDE-03</t>
        </is>
      </c>
      <c r="I107" s="28" t="inlineStr">
        <is>
          <t>Runtime admission and R26 now validate exact Namespace-selected bytes without an active manifest-row requirement. Real admission passes with missing, archived and duplicate catalog entries. Further consumer/flow evidence remains.</t>
        </is>
      </c>
      <c r="J107" s="28" t="inlineStr">
        <is>
          <t>Correct the test's requirement for an active manifest row and inspect consumers for equivalent catalog vetoes. Validate exact Namespace-selected bytes, identity, permissions, allocation and binding directly. A library/history index may locate files but cannot override approval. No catalog repair or reselection is required merely to satisfy this test.</t>
        </is>
      </c>
      <c r="K107" s="28" t="inlineStr">
        <is>
          <t>docs/reviews/phase1-baseline/README.md</t>
        </is>
      </c>
      <c r="L107" s="28" t="inlineStr">
        <is>
          <t>2026-10-17</t>
        </is>
      </c>
      <c r="M107" s="28" t="inlineStr">
        <is>
          <t>docs/reviews/phase1-baseline/README.md; docs/reviews/phase1-baseline/namespace-authority-progress.md</t>
        </is>
      </c>
      <c r="N107" s="28" t="n"/>
    </row>
    <row r="108" ht="100" customHeight="1" s="14">
      <c r="A108" s="28" t="inlineStr">
        <is>
          <t>BASE-03</t>
        </is>
      </c>
      <c r="B108" s="28" t="inlineStr">
        <is>
          <t>Baseline audit</t>
        </is>
      </c>
      <c r="C108" s="28" t="inlineStr">
        <is>
          <t>LUMP GT validator</t>
        </is>
      </c>
      <c r="D108" s="28" t="inlineStr">
        <is>
          <t>Phase 1 assurance</t>
        </is>
      </c>
      <c r="E108" s="28" t="inlineStr">
        <is>
          <t>High</t>
        </is>
      </c>
      <c r="F108" s="28" t="inlineStr">
        <is>
          <t>Open</t>
        </is>
      </c>
      <c r="G108" s="28" t="inlineStr">
        <is>
          <t>Unassigned</t>
        </is>
      </c>
      <c r="H108" s="28" t="inlineStr">
        <is>
          <t>SIM-01; SEAL-02; REL-03</t>
        </is>
      </c>
      <c r="I108" s="28" t="inlineStr">
        <is>
          <t>Legacy-oracle conflict; affected binary validity not established. 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J108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K108" s="28" t="inlineStr">
        <is>
          <t>docs/reviews/phase1-baseline/README.md</t>
        </is>
      </c>
      <c r="L108" s="28" t="inlineStr">
        <is>
          <t>2026-10-17</t>
        </is>
      </c>
      <c r="M108" s="28" t="inlineStr">
        <is>
          <t>docs/reviews/phase1-baseline/README.md</t>
        </is>
      </c>
      <c r="N108" s="28" t="n"/>
    </row>
    <row r="109" ht="100" customHeight="1" s="14">
      <c r="A109" s="28" t="inlineStr">
        <is>
          <t>BASE-04</t>
        </is>
      </c>
      <c r="B109" s="28" t="inlineStr">
        <is>
          <t>Baseline audit</t>
        </is>
      </c>
      <c r="C109" s="28" t="inlineStr">
        <is>
          <t>Boot-image agreement</t>
        </is>
      </c>
      <c r="D109" s="28" t="inlineStr">
        <is>
          <t>Phase 1 assurance</t>
        </is>
      </c>
      <c r="E109" s="28" t="inlineStr">
        <is>
          <t>High</t>
        </is>
      </c>
      <c r="F109" s="28" t="inlineStr">
        <is>
          <t>Open</t>
        </is>
      </c>
      <c r="G109" s="28" t="inlineStr">
        <is>
          <t>Unassigned</t>
        </is>
      </c>
      <c r="H109" s="28" t="inlineStr">
        <is>
          <t>SIM-03; H10; H11; H12</t>
        </is>
      </c>
      <c r="I109" s="28" t="inlineStr">
        <is>
          <t>Shared generator/fixture contract failure; root cause provisional. 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J109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K109" s="28" t="inlineStr">
        <is>
          <t>docs/reviews/phase1-baseline/README.md</t>
        </is>
      </c>
      <c r="L109" s="28" t="inlineStr">
        <is>
          <t>2026-10-17</t>
        </is>
      </c>
      <c r="M109" s="28" t="inlineStr">
        <is>
          <t>docs/reviews/phase1-baseline/README.md</t>
        </is>
      </c>
      <c r="N109" s="28" t="n"/>
    </row>
    <row r="110" ht="100" customHeight="1" s="14">
      <c r="A110" s="28" t="inlineStr">
        <is>
          <t>BASE-05</t>
        </is>
      </c>
      <c r="B110" s="28" t="inlineStr">
        <is>
          <t>Baseline audit</t>
        </is>
      </c>
      <c r="C110" s="28" t="inlineStr">
        <is>
          <t>RTL boot/control</t>
        </is>
      </c>
      <c r="D110" s="28" t="inlineStr">
        <is>
          <t>Phase 1 assurance</t>
        </is>
      </c>
      <c r="E110" s="28" t="inlineStr">
        <is>
          <t>High</t>
        </is>
      </c>
      <c r="F110" s="28" t="inlineStr">
        <is>
          <t>Needs verification</t>
        </is>
      </c>
      <c r="G110" s="28" t="inlineStr">
        <is>
          <t>Unassigned</t>
        </is>
      </c>
      <c r="H110" s="28" t="inlineStr">
        <is>
          <t>SIM-02; SIM-03; H05; H09; H18</t>
        </is>
      </c>
      <c r="I110" s="28" t="inlineStr">
        <is>
          <t>Unresolved fixture/implementation/oracle failures. Existing run: 8 failed, 46 passed. Failures cover SWITCH outcomes, delayed-fault issuer attribution, nested CALL/RETURN and saved-PC validation. No fresh RTL simulation was performed.</t>
        </is>
      </c>
      <c r="J110" s="28" t="inlineStr">
        <is>
          <t>Capture instruction words and pre-fault state, verify approved fixture encodings, then replay minimal isolated cases. Keep implementation defects possible until evidence excludes them.</t>
        </is>
      </c>
      <c r="K110" s="28" t="inlineStr">
        <is>
          <t>docs/reviews/phase1-baseline/README.md</t>
        </is>
      </c>
      <c r="L110" s="28" t="inlineStr">
        <is>
          <t>2026-10-17</t>
        </is>
      </c>
      <c r="M110" s="28" t="inlineStr">
        <is>
          <t>docs/reviews/phase1-baseline/README.md</t>
        </is>
      </c>
      <c r="N110" s="28" t="n"/>
    </row>
    <row r="111" ht="100" customHeight="1" s="14">
      <c r="A111" s="28" t="inlineStr">
        <is>
          <t>BASE-06</t>
        </is>
      </c>
      <c r="B111" s="28" t="inlineStr">
        <is>
          <t>Baseline audit</t>
        </is>
      </c>
      <c r="C111" s="28" t="inlineStr">
        <is>
          <t>Generated initialization</t>
        </is>
      </c>
      <c r="D111" s="28" t="inlineStr">
        <is>
          <t>Phase 1 assurance</t>
        </is>
      </c>
      <c r="E111" s="28" t="inlineStr">
        <is>
          <t>High</t>
        </is>
      </c>
      <c r="F111" s="28" t="inlineStr">
        <is>
          <t>Open</t>
        </is>
      </c>
      <c r="G111" s="28" t="inlineStr">
        <is>
          <t>Unassigned</t>
        </is>
      </c>
      <c r="H111" s="28" t="inlineStr">
        <is>
          <t>REL-01; H19; H20</t>
        </is>
      </c>
      <c r="I111" s="28" t="inlineStr">
        <is>
          <t>Reported generated-artifact/source mismatch; not freshly recomputed. Existing guard: RTLIL init ROM 2693 entries versus Python source 2694; 1 failed, 25 passed in that suite.</t>
        </is>
      </c>
      <c r="J111" s="28" t="inlineStr">
        <is>
          <t>Freeze source and approved image first; then regenerate and qualify exact outputs under separate authorization. Do not equate a one-entry count fix with a qualified bitstream.</t>
        </is>
      </c>
      <c r="K111" s="28" t="inlineStr">
        <is>
          <t>docs/reviews/phase1-baseline/README.md</t>
        </is>
      </c>
      <c r="L111" s="28" t="inlineStr">
        <is>
          <t>2026-10-17</t>
        </is>
      </c>
      <c r="M111" s="28" t="inlineStr">
        <is>
          <t>docs/reviews/phase1-baseline/README.md</t>
        </is>
      </c>
      <c r="N111" s="28" t="n"/>
    </row>
    <row r="112" ht="100" customHeight="1" s="14">
      <c r="A112" s="28" t="inlineStr">
        <is>
          <t>BASE-07</t>
        </is>
      </c>
      <c r="B112" s="28" t="inlineStr">
        <is>
          <t>Baseline audit</t>
        </is>
      </c>
      <c r="C112" s="28" t="inlineStr">
        <is>
          <t>SelfTest freshness</t>
        </is>
      </c>
      <c r="D112" s="28" t="inlineStr">
        <is>
          <t>Phase 1 assurance</t>
        </is>
      </c>
      <c r="E112" s="28" t="inlineStr">
        <is>
          <t>High</t>
        </is>
      </c>
      <c r="F112" s="28" t="inlineStr">
        <is>
          <t>Open</t>
        </is>
      </c>
      <c r="G112" s="28" t="inlineStr">
        <is>
          <t>Unassigned</t>
        </is>
      </c>
      <c r="H112" s="28" t="inlineStr">
        <is>
          <t>RES-SelfTest; SIM-05</t>
        </is>
      </c>
      <c r="I112" s="28" t="inlineStr">
        <is>
          <t>Reported source/entry-format drift, not observed execution failure. Selected SelfTest hash is intact. Existing freshness guard says instruction body MATCH, embedded text DIFFERENT, method-entry format DIFFERENT. The first failing command prevents the chained guard-test command from running.</t>
        </is>
      </c>
      <c r="J112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K112" s="28" t="inlineStr">
        <is>
          <t>docs/reviews/phase1-baseline/README.md</t>
        </is>
      </c>
      <c r="L112" s="28" t="inlineStr">
        <is>
          <t>2026-10-17</t>
        </is>
      </c>
      <c r="M112" s="28" t="inlineStr">
        <is>
          <t>docs/reviews/phase1-baseline/README.md</t>
        </is>
      </c>
      <c r="N112" s="28" t="n"/>
    </row>
    <row r="113" ht="100" customHeight="1" s="14">
      <c r="A113" s="28" t="inlineStr">
        <is>
          <t>BASE-08</t>
        </is>
      </c>
      <c r="B113" s="28" t="inlineStr">
        <is>
          <t>Baseline audit</t>
        </is>
      </c>
      <c r="C113" s="28" t="inlineStr">
        <is>
          <t>API reference suite</t>
        </is>
      </c>
      <c r="D113" s="28" t="inlineStr">
        <is>
          <t>Phase 1 assurance</t>
        </is>
      </c>
      <c r="E113" s="28" t="inlineStr">
        <is>
          <t>High</t>
        </is>
      </c>
      <c r="F113" s="28" t="inlineStr">
        <is>
          <t>Needs verification</t>
        </is>
      </c>
      <c r="G113" s="28" t="inlineStr">
        <is>
          <t>Unassigned</t>
        </is>
      </c>
      <c r="H113" s="28" t="inlineStr">
        <is>
          <t>IDE-06; REL-03</t>
        </is>
      </c>
      <c r="I113" s="28" t="inlineStr">
        <is>
          <t>Probable fixture/contract drift; not a fresh test result. Existing run fails in test_abs_saved_api.js: compiled method declarations unavailable. The fixture invokes _formatLumpApiDefinition('LED', []); failure occurs before the advertised reference comparison completes.</t>
        </is>
      </c>
      <c r="J113" s="28" t="inlineStr">
        <is>
          <t>Supply authentic compiled metadata in the fixture, or establish why valid metadata is lost; retain fail-closed refusal to infer API from another LUMP.</t>
        </is>
      </c>
      <c r="K113" s="28" t="inlineStr">
        <is>
          <t>docs/reviews/phase1-baseline/README.md</t>
        </is>
      </c>
      <c r="L113" s="28" t="inlineStr">
        <is>
          <t>2026-10-17</t>
        </is>
      </c>
      <c r="M113" s="28" t="inlineStr">
        <is>
          <t>docs/reviews/phase1-baseline/README.md</t>
        </is>
      </c>
      <c r="N113" s="28" t="n"/>
    </row>
    <row r="114" ht="100" customHeight="1" s="14">
      <c r="A114" s="28" t="inlineStr">
        <is>
          <t>BASE-09</t>
        </is>
      </c>
      <c r="B114" s="28" t="inlineStr">
        <is>
          <t>Baseline audit</t>
        </is>
      </c>
      <c r="C114" s="28" t="inlineStr">
        <is>
          <t>Bitstream provenance</t>
        </is>
      </c>
      <c r="D114" s="28" t="inlineStr">
        <is>
          <t>Phase 1 assurance</t>
        </is>
      </c>
      <c r="E114" s="28" t="inlineStr">
        <is>
          <t>High</t>
        </is>
      </c>
      <c r="F114" s="28" t="inlineStr">
        <is>
          <t>Open</t>
        </is>
      </c>
      <c r="G114" s="28" t="inlineStr">
        <is>
          <t>Unassigned</t>
        </is>
      </c>
      <c r="H114" s="28" t="inlineStr">
        <is>
          <t>REL-01; REL-02; CM-H</t>
        </is>
      </c>
      <c r="I114" s="28" t="inlineStr">
        <is>
          <t>Confirmed current-source drift from recorded build. Fresh hash comparison finds 22 of 39 recorded input fingerprints differ from current files. The record's historical “verified” label is not qualification of today's source.</t>
        </is>
      </c>
      <c r="J114" s="28" t="inlineStr">
        <is>
          <t>Freeze the candidate source/configuration; obtain matching generation, build/timing, artifact hashes and authorized physical evidence. Do not relabel the historical bitstream.</t>
        </is>
      </c>
      <c r="K114" s="28" t="inlineStr">
        <is>
          <t>docs/reviews/phase1-baseline/README.md</t>
        </is>
      </c>
      <c r="L114" s="28" t="inlineStr">
        <is>
          <t>2026-10-17</t>
        </is>
      </c>
      <c r="M114" s="28" t="inlineStr">
        <is>
          <t>docs/reviews/phase1-baseline/README.md</t>
        </is>
      </c>
      <c r="N114" s="28" t="n"/>
    </row>
  </sheetData>
  <autoFilter ref="A1:N114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2026-10-17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/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/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/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/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/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/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/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/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/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/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Unweighted row closure, NOT percentage of ISA/security proved. Software gaps are not automatically bitstream gates.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</t>
        </is>
      </c>
      <c r="D14" s="28" t="inlineStr">
        <is>
          <t>Blocked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/>
      </c>
      <c r="C15" s="28">
        <f>COUNTIFS(Completeness!B2:B10000,A15,Completeness!F2:F10000,"Complete")</f>
        <v/>
      </c>
      <c r="D15" s="28">
        <f>COUNTIFS(Completeness!B2:B10000,A15,Completeness!F2:F10000,"Blocked")</f>
        <v/>
      </c>
    </row>
    <row r="16" ht="48" customHeight="1" s="14">
      <c r="A16" s="28" t="inlineStr">
        <is>
          <t>Hardware acceptance</t>
        </is>
      </c>
      <c r="B16" s="28">
        <f>COUNTIF(Completeness!B2:B10000,A16)</f>
        <v/>
      </c>
      <c r="C16" s="28">
        <f>COUNTIFS(Completeness!B2:B10000,A16,Completeness!F2:F10000,"Complete")</f>
        <v/>
      </c>
      <c r="D16" s="28">
        <f>COUNTIFS(Completeness!B2:B10000,A16,Completeness!F2:F10000,"Blocked")</f>
        <v/>
      </c>
    </row>
    <row r="17" ht="48" customHeight="1" s="14">
      <c r="A17" s="28" t="inlineStr">
        <is>
          <t>IDE</t>
        </is>
      </c>
      <c r="B17" s="28">
        <f>COUNTIF(Completeness!B2:B10000,A17)</f>
        <v/>
      </c>
      <c r="C17" s="28">
        <f>COUNTIFS(Completeness!B2:B10000,A17,Completeness!F2:F10000,"Complete")</f>
        <v/>
      </c>
      <c r="D17" s="28">
        <f>COUNTIFS(Completeness!B2:B10000,A17,Completeness!F2:F10000,"Blocked")</f>
        <v/>
      </c>
    </row>
    <row r="18" ht="48" customHeight="1" s="14">
      <c r="A18" s="28" t="inlineStr">
        <is>
          <t>Mint gates</t>
        </is>
      </c>
      <c r="B18" s="28">
        <f>COUNTIF(Completeness!B2:B10000,A18)</f>
        <v/>
      </c>
      <c r="C18" s="28">
        <f>COUNTIFS(Completeness!B2:B10000,A18,Completeness!F2:F10000,"Complete")</f>
        <v/>
      </c>
      <c r="D18" s="28">
        <f>COUNTIFS(Completeness!B2:B10000,A18,Completeness!F2:F10000,"Blocked")</f>
        <v/>
      </c>
    </row>
    <row r="19" ht="48" customHeight="1" s="14">
      <c r="A19" s="28" t="inlineStr">
        <is>
          <t>Missing functions</t>
        </is>
      </c>
      <c r="B19" s="28">
        <f>COUNTIF(Completeness!B2:B10000,A19)</f>
        <v/>
      </c>
      <c r="C19" s="28">
        <f>COUNTIFS(Completeness!B2:B10000,A19,Completeness!F2:F10000,"Complete")</f>
        <v/>
      </c>
      <c r="D19" s="28">
        <f>COUNTIFS(Completeness!B2:B10000,A19,Completeness!F2:F10000,"Blocked")</f>
        <v/>
      </c>
    </row>
    <row r="20" ht="48" customHeight="1" s="14">
      <c r="A20" s="28" t="inlineStr">
        <is>
          <t>Named abstractions</t>
        </is>
      </c>
      <c r="B20" s="28">
        <f>COUNTIF(Completeness!B2:B10000,A20)</f>
        <v/>
      </c>
      <c r="C20" s="28">
        <f>COUNTIFS(Completeness!B2:B10000,A20,Completeness!F2:F10000,"Complete")</f>
        <v/>
      </c>
      <c r="D20" s="28">
        <f>COUNTIFS(Completeness!B2:B10000,A20,Completeness!F2:F10000,"Blocked")</f>
        <v/>
      </c>
    </row>
    <row r="21" ht="48" customHeight="1" s="14">
      <c r="A21" s="28" t="inlineStr">
        <is>
          <t>Performance</t>
        </is>
      </c>
      <c r="B21" s="28">
        <f>COUNTIF(Completeness!B2:B10000,A21)</f>
        <v/>
      </c>
      <c r="C21" s="28">
        <f>COUNTIFS(Completeness!B2:B10000,A21,Completeness!F2:F10000,"Complete")</f>
        <v/>
      </c>
      <c r="D21" s="28">
        <f>COUNTIFS(Completeness!B2:B10000,A21,Completeness!F2:F10000,"Blocked")</f>
        <v/>
      </c>
    </row>
    <row r="22" ht="48" customHeight="1" s="14">
      <c r="A22" s="28" t="inlineStr">
        <is>
          <t>RTL / bitstream</t>
        </is>
      </c>
      <c r="B22" s="28">
        <f>COUNTIF(Completeness!B2:B10000,A22)</f>
        <v/>
      </c>
      <c r="C22" s="28">
        <f>COUNTIFS(Completeness!B2:B10000,A22,Completeness!F2:F10000,"Complete")</f>
        <v/>
      </c>
      <c r="D22" s="28">
        <f>COUNTIFS(Completeness!B2:B10000,A22,Completeness!F2:F10000,"Blocked")</f>
        <v/>
      </c>
    </row>
    <row r="23" ht="48" customHeight="1" s="14">
      <c r="A23" s="28" t="inlineStr">
        <is>
          <t>Seal storage</t>
        </is>
      </c>
      <c r="B23" s="28">
        <f>COUNTIF(Completeness!B2:B10000,A23)</f>
        <v/>
      </c>
      <c r="C23" s="28">
        <f>COUNTIFS(Completeness!B2:B10000,A23,Completeness!F2:F10000,"Complete")</f>
        <v/>
      </c>
      <c r="D23" s="28">
        <f>COUNTIFS(Completeness!B2:B10000,A23,Completeness!F2:F10000,"Blocked")</f>
        <v/>
      </c>
    </row>
    <row r="24" ht="48" customHeight="1" s="14">
      <c r="A24" s="28" t="inlineStr">
        <is>
          <t>Simulator / ISA</t>
        </is>
      </c>
      <c r="B24" s="28">
        <f>COUNTIF(Completeness!B2:B10000,A24)</f>
        <v/>
      </c>
      <c r="C24" s="28">
        <f>COUNTIFS(Completeness!B2:B10000,A24,Completeness!F2:F10000,"Complete")</f>
        <v/>
      </c>
      <c r="D24" s="28">
        <f>COUNTIFS(Completeness!B2:B10000,A24,Completeness!F2:F10000,"Blocked")</f>
        <v/>
      </c>
    </row>
    <row r="25" ht="48" customHeight="1" s="14">
      <c r="A25" s="28" t="inlineStr">
        <is>
          <t>Software acceptance</t>
        </is>
      </c>
      <c r="B25" s="28">
        <f>COUNTIF(Completeness!B2:B10000,A25)</f>
        <v/>
      </c>
      <c r="C25" s="28">
        <f>COUNTIFS(Completeness!B2:B10000,A25,Completeness!F2:F10000,"Complete")</f>
        <v/>
      </c>
      <c r="D25" s="28">
        <f>COUNTIFS(Completeness!B2:B10000,A25,Completeness!F2:F10000,"Blocked")</f>
        <v/>
      </c>
    </row>
    <row r="26" ht="48" customHeight="1" s="14">
      <c r="A26" s="28" t="inlineStr">
        <is>
          <t>Specification</t>
        </is>
      </c>
      <c r="B26" s="28">
        <f>COUNTIF(Completeness!B2:B10000,A26)</f>
        <v/>
      </c>
      <c r="C26" s="28">
        <f>COUNTIFS(Completeness!B2:B10000,A26,Completeness!F2:F10000,"Complete")</f>
        <v/>
      </c>
      <c r="D26" s="28">
        <f>COUNTIFS(Completeness!B2:B10000,A26,Completeness!F2:F10000,"Blocked")</f>
        <v/>
      </c>
    </row>
    <row r="27" ht="48" customHeight="1" s="14">
      <c r="A27" s="28" t="inlineStr">
        <is>
          <t>W7 security</t>
        </is>
      </c>
      <c r="B27" s="28">
        <f>COUNTIF(Completeness!B2:B10000,A27)</f>
        <v/>
      </c>
      <c r="C27" s="28">
        <f>COUNTIFS(Completeness!B2:B10000,A27,Completeness!F2:F10000,"Complete")</f>
        <v/>
      </c>
      <c r="D27" s="28">
        <f>COUNTIFS(Completeness!B2:B10000,A27,Completeness!F2:F10000,"Blocked")</f>
        <v/>
      </c>
    </row>
    <row r="28">
      <c r="A28" s="28" t="inlineStr">
        <is>
          <t>Baseline audit</t>
        </is>
      </c>
      <c r="B28" s="28">
        <f>COUNTIF(Completeness!B2:B10000,A28)</f>
        <v/>
      </c>
      <c r="C28" s="28">
        <f>COUNTIFS(Completeness!B2:B10000,A28,Completeness!F2:F10000,"Complete")</f>
        <v/>
      </c>
      <c r="D28" s="28">
        <f>COUNTIFS(Completeness!B2:B10000,A28,Completeness!F2:F10000,"Blocked")</f>
        <v/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 or decision remains. Blocked: prerequisite authority, contract or mechanism missing. Not run: defined objective with no qualifying run recorded.</t>
        </is>
      </c>
    </row>
    <row r="7" ht="48" customHeight="1" s="14">
      <c r="A7" s="28" t="inlineStr">
        <is>
          <t>No invented status</t>
        </is>
      </c>
      <c r="B7" s="28" t="inlineStr">
        <is>
          <t>No new simulator, RTL or hardware runs were performed to populate this workbook; workflow snapshot failures are leads, not confirmed current defects.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  <row r="14">
      <c r="A14" s="13" t="inlineStr">
        <is>
          <t>Baseline audit</t>
        </is>
      </c>
      <c r="B14" s="13" t="inlineStr">
        <is>
          <t>Nine root-cause groups. Workflow results are existing observations, not fresh reruns. Only the compiler dependency and read-only hash/binding probes were reproduced. See repository audit report.</t>
        </is>
      </c>
    </row>
    <row r="15" ht="80" customHeight="1" s="14">
      <c r="A15" s="13" t="inlineStr">
        <is>
          <t>Namespace authority</t>
        </is>
      </c>
      <c r="B15" s="28" t="inlineStr">
        <is>
          <t>Genesis-approved Namespace selection is authoritative. A manifest may index library/history files, but missing, archived or duplicate catalog rows cannot veto independently verified selected bytes. BASE-02 tracks the competing test requirement, not a request to repair approved selections.</t>
        </is>
      </c>
    </row>
  </sheetData>
  <autoFilter ref="A1:B13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14" min="1" max="1"/>
    <col width="26" customWidth="1" style="14" min="2" max="2"/>
    <col width="55" customWidth="1" style="14" min="3" max="3"/>
    <col width="95" customWidth="1" style="14" min="4" max="4"/>
    <col width="90" customWidth="1" style="14" min="5" max="5"/>
    <col width="55" customWidth="1" style="14" min="6" max="6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Classification / confidence</t>
        </is>
      </c>
      <c r="D1" s="27" t="inlineStr">
        <is>
          <t>Observation</t>
        </is>
      </c>
      <c r="E1" s="27" t="inlineStr">
        <is>
          <t>Next action</t>
        </is>
      </c>
      <c r="F1" s="27" t="inlineStr">
        <is>
          <t>Related requirements</t>
        </is>
      </c>
    </row>
    <row r="2" ht="110" customHeight="1" s="14">
      <c r="A2" s="28" t="inlineStr">
        <is>
          <t>BASE-01</t>
        </is>
      </c>
      <c r="B2" s="28" t="inlineStr">
        <is>
          <t>Assembler/compiler</t>
        </is>
      </c>
      <c r="C2" s="28" t="inlineStr">
        <is>
          <t>Confirmed dependency-initialization failure; not an ISA verdict</t>
        </is>
      </c>
      <c r="D2" s="28" t="inlineStr">
        <is>
          <t>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E2" s="28" t="inlineStr">
        <is>
          <t>Establish explicit Node/compiler dependency setup and regression coverage; rerun isolated assembler suite before interpreting encoding failures. Do not weaken retired-opcode diagnostics.</t>
        </is>
      </c>
      <c r="F2" s="28" t="inlineStr">
        <is>
          <t>SIM-01; REL-03</t>
        </is>
      </c>
    </row>
    <row r="3" ht="110" customHeight="1" s="14">
      <c r="A3" s="28" t="inlineStr">
        <is>
          <t>BASE-02</t>
        </is>
      </c>
      <c r="B3" s="28" t="inlineStr">
        <is>
          <t>Namespace authority</t>
        </is>
      </c>
      <c r="C3" s="28" t="inlineStr">
        <is>
          <t>Test imposes a competing manifest-authority requirement</t>
        </is>
      </c>
      <c r="D3" s="28" t="inlineStr">
        <is>
          <t>Selected SelfTest has one active matching catalog row; selected WukongCallHome and CapabilityTest have zero. All three selected binary hashes match their files. Genesis confirms the approved Namespace list is authoritative; missing active catalog rows do not invalidate these selections. Hash agreement alone is not full execution qualification. Subsequent implementation: admission and R26 catalog veto removed; see docs/reviews/phase1-baseline/namespace-authority-progress.md</t>
        </is>
      </c>
      <c r="E3" s="28" t="inlineStr">
        <is>
          <t>Verify remaining save/preview/image consumers against Namespace authority. Preserve exact-byte and allocation checks; no catalog repair or reselection merely for archive flags.</t>
        </is>
      </c>
      <c r="F3" s="28" t="inlineStr">
        <is>
          <t>RES-SelfTest; RES-WukongCallHome; RES-CapabilityTest; IDE-03</t>
        </is>
      </c>
    </row>
    <row r="4" ht="110" customHeight="1" s="14">
      <c r="A4" s="28" t="inlineStr">
        <is>
          <t>BASE-03</t>
        </is>
      </c>
      <c r="B4" s="28" t="inlineStr">
        <is>
          <t>LUMP GT validator</t>
        </is>
      </c>
      <c r="C4" s="28" t="inlineStr">
        <is>
          <t>Legacy-oracle conflict; affected binary validity not established</t>
        </is>
      </c>
      <c r="D4" s="28" t="inlineStr">
        <is>
          <t>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E4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F4" s="28" t="inlineStr">
        <is>
          <t>SIM-01; SEAL-02; REL-03</t>
        </is>
      </c>
    </row>
    <row r="5" ht="110" customHeight="1" s="14">
      <c r="A5" s="28" t="inlineStr">
        <is>
          <t>BASE-04</t>
        </is>
      </c>
      <c r="B5" s="28" t="inlineStr">
        <is>
          <t>Boot-image agreement</t>
        </is>
      </c>
      <c r="C5" s="28" t="inlineStr">
        <is>
          <t>Shared generator/fixture contract failure; root cause provisional</t>
        </is>
      </c>
      <c r="D5" s="28" t="inlineStr">
        <is>
          <t>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E5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F5" s="28" t="inlineStr">
        <is>
          <t>SIM-03; H10; H11; H12</t>
        </is>
      </c>
    </row>
    <row r="6" ht="110" customHeight="1" s="14">
      <c r="A6" s="28" t="inlineStr">
        <is>
          <t>BASE-05</t>
        </is>
      </c>
      <c r="B6" s="28" t="inlineStr">
        <is>
          <t>RTL boot/control</t>
        </is>
      </c>
      <c r="C6" s="28" t="inlineStr">
        <is>
          <t>Unresolved fixture/implementation/oracle failures</t>
        </is>
      </c>
      <c r="D6" s="28" t="inlineStr">
        <is>
          <t>Existing run: 8 failed, 46 passed. Failures cover SWITCH outcomes, delayed-fault issuer attribution, nested CALL/RETURN and saved-PC validation. No fresh RTL simulation was performed.</t>
        </is>
      </c>
      <c r="E6" s="28" t="inlineStr">
        <is>
          <t>Capture instruction words and pre-fault state, verify approved fixture encodings, then replay minimal isolated cases. Keep implementation defects possible until evidence excludes them.</t>
        </is>
      </c>
      <c r="F6" s="28" t="inlineStr">
        <is>
          <t>SIM-02; SIM-03; H05; H09; H18</t>
        </is>
      </c>
    </row>
    <row r="7" ht="110" customHeight="1" s="14">
      <c r="A7" s="28" t="inlineStr">
        <is>
          <t>BASE-06</t>
        </is>
      </c>
      <c r="B7" s="28" t="inlineStr">
        <is>
          <t>Generated initialization</t>
        </is>
      </c>
      <c r="C7" s="28" t="inlineStr">
        <is>
          <t>Reported generated-artifact/source mismatch; not freshly recomputed</t>
        </is>
      </c>
      <c r="D7" s="28" t="inlineStr">
        <is>
          <t>Existing guard: RTLIL init ROM 2693 entries versus Python source 2694; 1 failed, 25 passed in that suite.</t>
        </is>
      </c>
      <c r="E7" s="28" t="inlineStr">
        <is>
          <t>Freeze source and approved image first; then regenerate and qualify exact outputs under separate authorization. Do not equate a one-entry count fix with a qualified bitstream.</t>
        </is>
      </c>
      <c r="F7" s="28" t="inlineStr">
        <is>
          <t>REL-01; H19; H20</t>
        </is>
      </c>
    </row>
    <row r="8" ht="110" customHeight="1" s="14">
      <c r="A8" s="28" t="inlineStr">
        <is>
          <t>BASE-07</t>
        </is>
      </c>
      <c r="B8" s="28" t="inlineStr">
        <is>
          <t>SelfTest freshness</t>
        </is>
      </c>
      <c r="C8" s="28" t="inlineStr">
        <is>
          <t>Reported source/entry-format drift, not observed execution failure</t>
        </is>
      </c>
      <c r="D8" s="28" t="inlineStr">
        <is>
          <t>Selected SelfTest hash is intact. Existing freshness guard says instruction body MATCH, embedded text DIFFERENT, method-entry format DIFFERENT. The first failing command prevents the chained guard-test command from running.</t>
        </is>
      </c>
      <c r="E8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F8" s="28" t="inlineStr">
        <is>
          <t>RES-SelfTest; SIM-05</t>
        </is>
      </c>
    </row>
    <row r="9" ht="110" customHeight="1" s="14">
      <c r="A9" s="28" t="inlineStr">
        <is>
          <t>BASE-08</t>
        </is>
      </c>
      <c r="B9" s="28" t="inlineStr">
        <is>
          <t>API reference suite</t>
        </is>
      </c>
      <c r="C9" s="28" t="inlineStr">
        <is>
          <t>Probable fixture/contract drift; not a fresh test result</t>
        </is>
      </c>
      <c r="D9" s="28" t="inlineStr">
        <is>
          <t>Existing run fails in test_abs_saved_api.js: compiled method declarations unavailable. The fixture invokes _formatLumpApiDefinition('LED', []); failure occurs before the advertised reference comparison completes.</t>
        </is>
      </c>
      <c r="E9" s="28" t="inlineStr">
        <is>
          <t>Supply authentic compiled metadata in the fixture, or establish why valid metadata is lost; retain fail-closed refusal to infer API from another LUMP.</t>
        </is>
      </c>
      <c r="F9" s="28" t="inlineStr">
        <is>
          <t>IDE-06; REL-03</t>
        </is>
      </c>
    </row>
    <row r="10" ht="110" customHeight="1" s="14">
      <c r="A10" s="28" t="inlineStr">
        <is>
          <t>BASE-09</t>
        </is>
      </c>
      <c r="B10" s="28" t="inlineStr">
        <is>
          <t>Bitstream provenance</t>
        </is>
      </c>
      <c r="C10" s="28" t="inlineStr">
        <is>
          <t>Confirmed current-source drift from recorded build</t>
        </is>
      </c>
      <c r="D10" s="28" t="inlineStr">
        <is>
          <t>Fresh hash comparison finds 22 of 39 recorded input fingerprints differ from current files. The record's historical “verified” label is not qualification of today's source.</t>
        </is>
      </c>
      <c r="E10" s="28" t="inlineStr">
        <is>
          <t>Freeze the candidate source/configuration; obtain matching generation, build/timing, artifact hashes and authorized physical evidence. Do not relabel the historical bitstream.</t>
        </is>
      </c>
      <c r="F10" s="28" t="inlineStr">
        <is>
          <t>REL-01; REL-02; CM-H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2026-10-17T15:47:20Z</dcterms:modified>
  <cp:revision>0</cp:revision>
</cp:coreProperties>
</file>