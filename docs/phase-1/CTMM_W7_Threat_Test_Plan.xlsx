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  <sheet name="Approved target" sheetId="8" state="visible" r:id="rId8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  <definedName name="_xlnm.Print_Titles" localSheetId="7">'Approved target'!$1:$1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ables/table3.xml><?xml version="1.0" encoding="utf-8"?>
<table xmlns="http://schemas.openxmlformats.org/spreadsheetml/2006/main" id="3" name="Phase1ApprovedTarget" displayName="Phase1ApprovedTarget" ref="A1:C19" headerRowCount="1">
  <autoFilter ref="A1:C19"/>
  <tableColumns count="3">
    <tableColumn id="1" name="Slot"/>
    <tableColumn id="2" name="Approved entry"/>
    <tableColumn id="3" name="Design intent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inlineStr">
        <is>
          <t>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Complete</t>
        </is>
      </c>
      <c r="G70" s="28" t="inlineStr">
        <is>
          <t>Unassigned</t>
        </is>
      </c>
      <c r="H70" s="28" t="inlineStr"/>
      <c r="I70" s="28" t="inlineStr">
        <is>
          <t>Approved Phase 1 256-slot profile accepted through original controls and actual isolated endpoints: exact revisions, 17 Resident-intent entries/no Lazy, unfinished rows, edits/save/reload, cancellation, boot 7→10 and cross-profile isolation. 4 endpoint + 26 focused server checks passed. Browser journey completed in targeted segments after two test-only assumptions were corrected; no fresh full-command green run claimed. 1,281 live artifact/configuration files unchanged. Historical results retained; no execution/hardware qualification.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tests/e2e/namespace_save_acceptance.spec.js; docs/reviews/phase1-baseline/approved-target-namespace.md; docs/reviews/phase1-baseline/phase1-save-reload-acceptance.md; tests/fixtures/phase1_namespace_target.json; tests/e2e/namespace_phase1_acceptance.spec.js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inlineStr">
        <is>
          <t>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inlineStr">
        <is>
          <t>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inlineStr">
        <is>
          <t>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Fresh combined verification: resident addresses 1024/7872, complete body identity, Thread ranges, matching Step-2 placements and private simulation checks pass without xfail exemptions. This is image-generator evidence only; same-byte simulator/RTL instruction conformance remains unverified.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docs/reviews/phase1-baseline/README.md; docs/reviews/phase1-baseline/namespace-authority-progress.md#combined-post-merge-verification--17-october-2026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inlineStr">
        <is>
          <t>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inlineStr">
        <is>
          <t>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inlineStr">
        <is>
          <t>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Fresh combined merge verification: 190 passed, 2 failed; no skips/xfails. Admission/allocation/private simulation: 128 passes. Independent image suite: 62 passes, 2 migration failures (parent/explicit config). Historical migration copies device address 0x40000014 into resident NS[10]; generator correctly rejects out-of-RAM placement. Other regression groups remain open.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inlineStr">
        <is>
          <t>BASE-01: docs/reviews/phase1-baseline/README.md; BASE-03: docs/reviews/phase1-baseline/README.md; BASE-08: docs/reviews/phase1-baseline/README.md; docs/reviews/phase1-baseline/namespace-authority-progress.md; docs/reviews/phase1-baseline/namespace-authority-progress.md#combined-post-merge-verification--17-october-2026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</t>
        </is>
      </c>
      <c r="K106" s="28" t="inlineStr">
        <is>
          <t>docs/reviews/phase1-baseline/README.md</t>
        </is>
      </c>
      <c r="L106" s="28" t="inlineStr">
        <is>
          <t>2026-10-17</t>
        </is>
      </c>
      <c r="M106" s="28" t="inlineStr">
        <is>
          <t>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</t>
        </is>
      </c>
      <c r="K113" s="28" t="inlineStr">
        <is>
          <t>docs/reviews/phase1-baseline/README.md</t>
        </is>
      </c>
      <c r="L113" s="28" t="inlineStr">
        <is>
          <t>2026-10-17</t>
        </is>
      </c>
      <c r="M113" s="28" t="inlineStr">
        <is>
          <t>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>113</v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>24</v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>6</v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>56</v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>24</v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>0</v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>2</v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>0</v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>1</v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>0.017857142857142856</v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Counts of different items; each item has one status. Row completion is not ISA/security coverage.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 items</t>
        </is>
      </c>
      <c r="D14" s="28" t="inlineStr">
        <is>
          <t>Blocked items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>8</v>
      </c>
      <c r="C15" s="28">
        <f>COUNTIFS(Completeness!B2:B10000,A15,Completeness!F2:F10000,"Complete")</f>
        <v>0</v>
      </c>
      <c r="D15" s="28">
        <f>COUNTIFS(Completeness!B2:B10000,A15,Completeness!F2:F10000,"Blocked")</f>
        <v>0</v>
      </c>
    </row>
    <row r="16" ht="48" customHeight="1" s="14">
      <c r="A16" s="28" t="inlineStr">
        <is>
          <t>Hardware acceptance</t>
        </is>
      </c>
      <c r="B16" s="28">
        <f>COUNTIF(Completeness!B2:B10000,A16)</f>
        <v>20</v>
      </c>
      <c r="C16" s="28">
        <f>COUNTIFS(Completeness!B2:B10000,A16,Completeness!F2:F10000,"Complete")</f>
        <v>0</v>
      </c>
      <c r="D16" s="28">
        <f>COUNTIFS(Completeness!B2:B10000,A16,Completeness!F2:F10000,"Blocked")</f>
        <v>0</v>
      </c>
    </row>
    <row r="17" ht="48" customHeight="1" s="14">
      <c r="A17" s="28" t="inlineStr">
        <is>
          <t>IDE</t>
        </is>
      </c>
      <c r="B17" s="28">
        <f>COUNTIF(Completeness!B2:B10000,A17)</f>
        <v>6</v>
      </c>
      <c r="C17" s="28">
        <f>COUNTIFS(Completeness!B2:B10000,A17,Completeness!F2:F10000,"Complete")</f>
        <v>1</v>
      </c>
      <c r="D17" s="28">
        <f>COUNTIFS(Completeness!B2:B10000,A17,Completeness!F2:F10000,"Blocked")</f>
        <v>0</v>
      </c>
    </row>
    <row r="18" ht="48" customHeight="1" s="14">
      <c r="A18" s="28" t="inlineStr">
        <is>
          <t>Mint gates</t>
        </is>
      </c>
      <c r="B18" s="28">
        <f>COUNTIF(Completeness!B2:B10000,A18)</f>
        <v>8</v>
      </c>
      <c r="C18" s="28">
        <f>COUNTIFS(Completeness!B2:B10000,A18,Completeness!F2:F10000,"Complete")</f>
        <v>0</v>
      </c>
      <c r="D18" s="28">
        <f>COUNTIFS(Completeness!B2:B10000,A18,Completeness!F2:F10000,"Blocked")</f>
        <v>0</v>
      </c>
    </row>
    <row r="19" ht="48" customHeight="1" s="14">
      <c r="A19" s="28" t="inlineStr">
        <is>
          <t>Missing functions</t>
        </is>
      </c>
      <c r="B19" s="28">
        <f>COUNTIF(Completeness!B2:B10000,A19)</f>
        <v>7</v>
      </c>
      <c r="C19" s="28">
        <f>COUNTIFS(Completeness!B2:B10000,A19,Completeness!F2:F10000,"Complete")</f>
        <v>0</v>
      </c>
      <c r="D19" s="28">
        <f>COUNTIFS(Completeness!B2:B10000,A19,Completeness!F2:F10000,"Blocked")</f>
        <v>4</v>
      </c>
    </row>
    <row r="20" ht="48" customHeight="1" s="14">
      <c r="A20" s="28" t="inlineStr">
        <is>
          <t>Named abstractions</t>
        </is>
      </c>
      <c r="B20" s="28">
        <f>COUNTIF(Completeness!B2:B10000,A20)</f>
        <v>12</v>
      </c>
      <c r="C20" s="28">
        <f>COUNTIFS(Completeness!B2:B10000,A20,Completeness!F2:F10000,"Complete")</f>
        <v>0</v>
      </c>
      <c r="D20" s="28">
        <f>COUNTIFS(Completeness!B2:B10000,A20,Completeness!F2:F10000,"Blocked")</f>
        <v>0</v>
      </c>
    </row>
    <row r="21" ht="48" customHeight="1" s="14">
      <c r="A21" s="28" t="inlineStr">
        <is>
          <t>Performance</t>
        </is>
      </c>
      <c r="B21" s="28">
        <f>COUNTIF(Completeness!B2:B10000,A21)</f>
        <v>6</v>
      </c>
      <c r="C21" s="28">
        <f>COUNTIFS(Completeness!B2:B10000,A21,Completeness!F2:F10000,"Complete")</f>
        <v>0</v>
      </c>
      <c r="D21" s="28">
        <f>COUNTIFS(Completeness!B2:B10000,A21,Completeness!F2:F10000,"Blocked")</f>
        <v>0</v>
      </c>
    </row>
    <row r="22" ht="48" customHeight="1" s="14">
      <c r="A22" s="28" t="inlineStr">
        <is>
          <t>RTL / bitstream</t>
        </is>
      </c>
      <c r="B22" s="28">
        <f>COUNTIF(Completeness!B2:B10000,A22)</f>
        <v>3</v>
      </c>
      <c r="C22" s="28">
        <f>COUNTIFS(Completeness!B2:B10000,A22,Completeness!F2:F10000,"Complete")</f>
        <v>0</v>
      </c>
      <c r="D22" s="28">
        <f>COUNTIFS(Completeness!B2:B10000,A22,Completeness!F2:F10000,"Blocked")</f>
        <v>0</v>
      </c>
    </row>
    <row r="23" ht="48" customHeight="1" s="14">
      <c r="A23" s="28" t="inlineStr">
        <is>
          <t>Seal storage</t>
        </is>
      </c>
      <c r="B23" s="28">
        <f>COUNTIF(Completeness!B2:B10000,A23)</f>
        <v>5</v>
      </c>
      <c r="C23" s="28">
        <f>COUNTIFS(Completeness!B2:B10000,A23,Completeness!F2:F10000,"Complete")</f>
        <v>0</v>
      </c>
      <c r="D23" s="28">
        <f>COUNTIFS(Completeness!B2:B10000,A23,Completeness!F2:F10000,"Blocked")</f>
        <v>1</v>
      </c>
    </row>
    <row r="24" ht="48" customHeight="1" s="14">
      <c r="A24" s="28" t="inlineStr">
        <is>
          <t>Simulator / ISA</t>
        </is>
      </c>
      <c r="B24" s="28">
        <f>COUNTIF(Completeness!B2:B10000,A24)</f>
        <v>5</v>
      </c>
      <c r="C24" s="28">
        <f>COUNTIFS(Completeness!B2:B10000,A24,Completeness!F2:F10000,"Complete")</f>
        <v>0</v>
      </c>
      <c r="D24" s="28">
        <f>COUNTIFS(Completeness!B2:B10000,A24,Completeness!F2:F10000,"Blocked")</f>
        <v>1</v>
      </c>
    </row>
    <row r="25" ht="48" customHeight="1" s="14">
      <c r="A25" s="28" t="inlineStr">
        <is>
          <t>Software acceptance</t>
        </is>
      </c>
      <c r="B25" s="28">
        <f>COUNTIF(Completeness!B2:B10000,A25)</f>
        <v>7</v>
      </c>
      <c r="C25" s="28">
        <f>COUNTIFS(Completeness!B2:B10000,A25,Completeness!F2:F10000,"Complete")</f>
        <v>0</v>
      </c>
      <c r="D25" s="28">
        <f>COUNTIFS(Completeness!B2:B10000,A25,Completeness!F2:F10000,"Blocked")</f>
        <v>0</v>
      </c>
    </row>
    <row r="26" ht="48" customHeight="1" s="14">
      <c r="A26" s="28" t="inlineStr">
        <is>
          <t>Specification</t>
        </is>
      </c>
      <c r="B26" s="28">
        <f>COUNTIF(Completeness!B2:B10000,A26)</f>
        <v>2</v>
      </c>
      <c r="C26" s="28">
        <f>COUNTIFS(Completeness!B2:B10000,A26,Completeness!F2:F10000,"Complete")</f>
        <v>1</v>
      </c>
      <c r="D26" s="28">
        <f>COUNTIFS(Completeness!B2:B10000,A26,Completeness!F2:F10000,"Blocked")</f>
        <v>0</v>
      </c>
    </row>
    <row r="27" ht="48" customHeight="1" s="14">
      <c r="A27" s="28" t="inlineStr">
        <is>
          <t>W7 security</t>
        </is>
      </c>
      <c r="B27" s="28">
        <f>COUNTIF(Completeness!B2:B10000,A27)</f>
        <v>15</v>
      </c>
      <c r="C27" s="28">
        <f>COUNTIFS(Completeness!B2:B10000,A27,Completeness!F2:F10000,"Complete")</f>
        <v>0</v>
      </c>
      <c r="D27" s="28">
        <f>COUNTIFS(Completeness!B2:B10000,A27,Completeness!F2:F10000,"Blocked")</f>
        <v>0</v>
      </c>
    </row>
    <row r="28">
      <c r="A28" s="28" t="inlineStr">
        <is>
          <t>Baseline audit</t>
        </is>
      </c>
      <c r="B28" s="28">
        <f>COUNTIF(Completeness!B2:B10000,A28)</f>
        <v>9</v>
      </c>
      <c r="C28" s="28">
        <f>COUNTIFS(Completeness!B2:B10000,A28,Completeness!F2:F10000,"Complete")</f>
        <v>0</v>
      </c>
      <c r="D28" s="28">
        <f>COUNTIFS(Completeness!B2:B10000,A28,Completeness!F2:F10000,"Blocked")</f>
        <v>0</v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  <row r="16">
      <c r="A16" s="13" t="inlineStr">
        <is>
          <t>Approved Phase 1 target</t>
        </is>
      </c>
      <c r="B16" s="13" t="inlineStr">
        <is>
          <t>Use Approved target and docs/reviews/phase1-baseline/approved-target-namespace.md. IDE-03 legacy-profile evidence is not acceptance of this target. Code work is linked through original requirement IDs; merged coding tasks do not automatically close those requirements.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style="14" min="1" max="1"/>
    <col width="30" customWidth="1" style="14" min="2" max="2"/>
    <col width="65" customWidth="1" style="14" min="3" max="3"/>
  </cols>
  <sheetData>
    <row r="1">
      <c r="A1" s="30" t="inlineStr">
        <is>
          <t>Slot</t>
        </is>
      </c>
      <c r="B1" s="30" t="inlineStr">
        <is>
          <t>Approved entry</t>
        </is>
      </c>
      <c r="C1" s="30" t="inlineStr">
        <is>
          <t>Design intent</t>
        </is>
      </c>
    </row>
    <row r="2">
      <c r="A2" s="28" t="n">
        <v>0</v>
      </c>
      <c r="B2" s="28" t="inlineStr">
        <is>
          <t>Namespace metadata/header</t>
        </is>
      </c>
      <c r="C2" s="28" t="inlineStr">
        <is>
          <t>Four-word table metadata</t>
        </is>
      </c>
    </row>
    <row r="3">
      <c r="A3" s="28" t="n">
        <v>1</v>
      </c>
      <c r="B3" s="28" t="inlineStr">
        <is>
          <t>Boot.NS</t>
        </is>
      </c>
      <c r="C3" s="28" t="inlineStr">
        <is>
          <t>Namespace self; Resident</t>
        </is>
      </c>
    </row>
    <row r="4">
      <c r="A4" s="28" t="n">
        <v>2</v>
      </c>
      <c r="B4" s="28" t="inlineStr">
        <is>
          <t>Boot.Thread</t>
        </is>
      </c>
      <c r="C4" s="28" t="inlineStr">
        <is>
          <t>Entry Thread; Resident</t>
        </is>
      </c>
    </row>
    <row r="5">
      <c r="A5" s="28" t="n">
        <v>3</v>
      </c>
      <c r="B5" s="28" t="inlineStr">
        <is>
          <t>LED_DEV</t>
        </is>
      </c>
      <c r="C5" s="28" t="inlineStr">
        <is>
          <t>Resident I/O register</t>
        </is>
      </c>
    </row>
    <row r="6">
      <c r="A6" s="28" t="n">
        <v>4</v>
      </c>
      <c r="B6" s="28" t="inlineStr">
        <is>
          <t>BTN_DEV</t>
        </is>
      </c>
      <c r="C6" s="28" t="inlineStr">
        <is>
          <t>Resident I/O register</t>
        </is>
      </c>
    </row>
    <row r="7">
      <c r="A7" s="28" t="n">
        <v>5</v>
      </c>
      <c r="B7" s="28" t="inlineStr">
        <is>
          <t>TIMER_DEV</t>
        </is>
      </c>
      <c r="C7" s="28" t="inlineStr">
        <is>
          <t>Resident I/O register</t>
        </is>
      </c>
    </row>
    <row r="8">
      <c r="A8" s="28" t="n">
        <v>6</v>
      </c>
      <c r="B8" s="28" t="inlineStr">
        <is>
          <t>SelfTest</t>
        </is>
      </c>
      <c r="C8" s="28" t="inlineStr">
        <is>
          <t>Resident</t>
        </is>
      </c>
    </row>
    <row r="9">
      <c r="A9" s="28" t="n">
        <v>7</v>
      </c>
      <c r="B9" s="28" t="inlineStr">
        <is>
          <t>WukongCallHome</t>
        </is>
      </c>
      <c r="C9" s="28" t="inlineStr">
        <is>
          <t>Resident</t>
        </is>
      </c>
    </row>
    <row r="10">
      <c r="A10" s="28" t="n">
        <v>8</v>
      </c>
      <c r="B10" s="28" t="inlineStr">
        <is>
          <t>UART_DEV</t>
        </is>
      </c>
      <c r="C10" s="28" t="inlineStr">
        <is>
          <t>Resident I/O register</t>
        </is>
      </c>
    </row>
    <row r="11">
      <c r="A11" s="28" t="n">
        <v>9</v>
      </c>
      <c r="B11" s="28" t="inlineStr">
        <is>
          <t>ide.Mint</t>
        </is>
      </c>
      <c r="C11" s="28" t="inlineStr">
        <is>
          <t>Resident intent; unfinished implementation retained</t>
        </is>
      </c>
    </row>
    <row r="12">
      <c r="A12" s="28" t="n">
        <v>10</v>
      </c>
      <c r="B12" s="28" t="inlineStr">
        <is>
          <t>CapabilityTest</t>
        </is>
      </c>
      <c r="C12" s="28" t="inlineStr">
        <is>
          <t>Resident; selected boot entry</t>
        </is>
      </c>
    </row>
    <row r="13">
      <c r="A13" s="28" t="n">
        <v>11</v>
      </c>
      <c r="B13" s="28" t="inlineStr">
        <is>
          <t>Thread.2</t>
        </is>
      </c>
      <c r="C13" s="28" t="inlineStr">
        <is>
          <t>Resident Thread</t>
        </is>
      </c>
    </row>
    <row r="14">
      <c r="A14" s="28" t="n">
        <v>12</v>
      </c>
      <c r="B14" s="28" t="inlineStr">
        <is>
          <t>Thread.3</t>
        </is>
      </c>
      <c r="C14" s="28" t="inlineStr">
        <is>
          <t>Resident Thread</t>
        </is>
      </c>
    </row>
    <row r="15">
      <c r="A15" s="28" t="n">
        <v>13</v>
      </c>
      <c r="B15" s="28" t="inlineStr">
        <is>
          <t>M_BIT_DEV</t>
        </is>
      </c>
      <c r="C15" s="28" t="inlineStr">
        <is>
          <t>Resident I/O register</t>
        </is>
      </c>
    </row>
    <row r="16">
      <c r="A16" s="28" t="n">
        <v>14</v>
      </c>
      <c r="B16" s="28" t="inlineStr">
        <is>
          <t>nstab</t>
        </is>
      </c>
      <c r="C16" s="28" t="inlineStr">
        <is>
          <t>Resident intent; requested RW</t>
        </is>
      </c>
    </row>
    <row r="17">
      <c r="A17" s="28" t="n">
        <v>15</v>
      </c>
      <c r="B17" s="28" t="inlineStr">
        <is>
          <t>pkverify</t>
        </is>
      </c>
      <c r="C17" s="28" t="inlineStr">
        <is>
          <t>Resident intent; requested E</t>
        </is>
      </c>
    </row>
    <row r="18">
      <c r="A18" s="28" t="n">
        <v>16</v>
      </c>
      <c r="B18" s="28" t="inlineStr">
        <is>
          <t>ide.Alice</t>
        </is>
      </c>
      <c r="C18" s="28" t="inlineStr">
        <is>
          <t>Resident intent</t>
        </is>
      </c>
    </row>
    <row r="19">
      <c r="A19" s="28" t="n">
        <v>17</v>
      </c>
      <c r="B19" s="28" t="inlineStr">
        <is>
          <t>ide.Mallory</t>
        </is>
      </c>
      <c r="C19" s="28" t="inlineStr">
        <is>
          <t>Resident intent</t>
        </is>
      </c>
    </row>
    <row r="20">
      <c r="A20" s="28" t="n"/>
      <c r="B20" s="28" t="n"/>
      <c r="C20" s="28" t="n"/>
    </row>
    <row r="21" ht="44" customHeight="1" s="14">
      <c r="A21" s="28" t="inlineStr">
        <is>
          <t>Confirmed</t>
        </is>
      </c>
      <c r="B21" s="28" t="inlineStr">
        <is>
          <t>2026-10-17; Genesis explicitly approved the pictured Phase 1 design.</t>
        </is>
      </c>
    </row>
    <row r="22" ht="44" customHeight="1" s="14">
      <c r="A22" s="28" t="inlineStr">
        <is>
          <t>Geometry</t>
        </is>
      </c>
      <c r="B22" s="28" t="inlineStr">
        <is>
          <t>256 total slots including metadata; 1024 words / 4096 bytes; table-only CR15 limit 1023.</t>
        </is>
      </c>
    </row>
    <row r="23" ht="44" customHeight="1" s="14">
      <c r="A23" s="28" t="inlineStr">
        <is>
          <t>Policy</t>
        </is>
      </c>
      <c r="B23" s="28" t="inlineStr">
        <is>
          <t>17 assigned entries, all Resident intent; no Lazy placements. IDE node: ide.</t>
        </is>
      </c>
    </row>
    <row r="24" ht="44" customHeight="1" s="14">
      <c r="A24" s="28" t="inlineStr">
        <is>
          <t>Scope</t>
        </is>
      </c>
      <c r="B24" s="28" t="inlineStr">
        <is>
          <t>Design confirmation only; no installation, activation, live migration or hardware actions.</t>
        </is>
      </c>
    </row>
    <row r="25" ht="44" customHeight="1" s="14">
      <c r="A25" s="28" t="inlineStr">
        <is>
          <t>Acceptance</t>
        </is>
      </c>
      <c r="B25" s="28" t="inlineStr">
        <is>
          <t>IDE-03 is Needs verification against this target. Older-profile passing results remain historical evidence.</t>
        </is>
      </c>
    </row>
    <row r="26" ht="44" customHeight="1" s="14">
      <c r="A26" s="28" t="inlineStr">
        <is>
          <t>Coding work</t>
        </is>
      </c>
      <c r="B26" s="28" t="inlineStr">
        <is>
          <t>Completeness includes implementation requirements, not a one-to-one project-task queue. Each code task should reference its requirement IDs and this target.</t>
        </is>
      </c>
    </row>
    <row r="27" ht="44" customHeight="1" s="14">
      <c r="A27" s="28" t="inlineStr">
        <is>
          <t>Reference</t>
        </is>
      </c>
      <c r="B27" s="28" t="inlineStr">
        <is>
          <t>docs/reviews/phase1-baseline/approved-target-namespace.md</t>
        </is>
      </c>
    </row>
  </sheetData>
  <mergeCells count="7">
    <mergeCell ref="B21:C21"/>
    <mergeCell ref="B24:C24"/>
    <mergeCell ref="B25:C25"/>
    <mergeCell ref="B23:C23"/>
    <mergeCell ref="B22:C22"/>
    <mergeCell ref="B26:C26"/>
    <mergeCell ref="B27:C27"/>
  </mergeCell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2026-10-17T16:37:46Z</dcterms:modified>
  <cp:revision>0</cp:revision>
</cp:coreProperties>
</file>