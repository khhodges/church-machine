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reat Map" sheetId="1" state="visible" r:id="rId3"/>
    <sheet name="Summary" sheetId="2" state="visible" r:id="rId4"/>
    <sheet name="Method" sheetId="3" state="visible" r:id="rId5"/>
  </sheets>
  <definedNames>
    <definedName function="false" hidden="true" localSheetId="0" name="_xlnm._FilterDatabase" vbProcedure="false">'Threat Map'!$A$5:$M$20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5" authorId="0">
      <text>
        <r>
          <rPr>
            <sz val="10"/>
            <rFont val="Arial"/>
            <family val="2"/>
          </rPr>
          <t xml:space="preserve">PASS = W7 baseline attack succeeds AND the same attack on the CTMM faults at the predicted point.</t>
        </r>
      </text>
    </comment>
  </commentList>
</comments>
</file>

<file path=xl/sharedStrings.xml><?xml version="1.0" encoding="utf-8"?>
<sst xmlns="http://schemas.openxmlformats.org/spreadsheetml/2006/main" count="177" uniqueCount="135">
  <si>
    <t xml:space="preserve">Church Machine (CTMM) vs W7 / Scheme 48 — adversarial test plan for W7 open threats</t>
  </si>
  <si>
    <t xml:space="preserve">Source of threats: J. Rees, 'A Security Kernel Based on the Lambda-Calculus', MIT AI Memo 1564 (1996). CTMM mechanisms from ratified design notes; rows marked 'Unknown' or 'Inferred' are Claude's inference, not ratified design.</t>
  </si>
  <si>
    <t xml:space="preserve">Legend: yellow cells are for you to fill in after running each test (W7 baseline result, CTMM result, notes). The Pass column computes itself.</t>
  </si>
  <si>
    <t xml:space="preserve">#</t>
  </si>
  <si>
    <t xml:space="preserve">W7 open threat</t>
  </si>
  <si>
    <t xml:space="preserve">Memo §</t>
  </si>
  <si>
    <t xml:space="preserve">Closure category</t>
  </si>
  <si>
    <t xml:space="preserve">CTMM mechanism</t>
  </si>
  <si>
    <t xml:space="preserve">Mechanism status</t>
  </si>
  <si>
    <t xml:space="preserve">Test oracle (what must happen)</t>
  </si>
  <si>
    <t xml:space="preserve">Coverage method</t>
  </si>
  <si>
    <t xml:space="preserve">Evidence class</t>
  </si>
  <si>
    <t xml:space="preserve">W7 baseline result</t>
  </si>
  <si>
    <t xml:space="preserve">CTMM result</t>
  </si>
  <si>
    <t xml:space="preserve">Pass?</t>
  </si>
  <si>
    <t xml:space="preserve">Notes / next action</t>
  </si>
  <si>
    <t xml:space="preserve">Revocation impossible</t>
  </si>
  <si>
    <t xml:space="preserve">4.3.5</t>
  </si>
  <si>
    <t xml:space="preserve">Closable now</t>
  </si>
  <si>
    <t xml:space="preserve">GT slot version numbers — O(1) revocation</t>
  </si>
  <si>
    <t xml:space="preserve">Ratified</t>
  </si>
  <si>
    <t xml:space="preserve">Make N copies of a GT; revoke once. Every copy faults; revoke cost independent of N (FPGA cycle counter).</t>
  </si>
  <si>
    <t xml:space="preserve">Sweep N = 1…max c-list size; cycle count must be flat</t>
  </si>
  <si>
    <t xml:space="preserve">Proven (by test + invariant)</t>
  </si>
  <si>
    <t xml:space="preserve">Recommended first test spec.</t>
  </si>
  <si>
    <t xml:space="preserve">Untrusted machine code: forged references</t>
  </si>
  <si>
    <t xml:space="preserve">4.3.3</t>
  </si>
  <si>
    <t xml:space="preserve">Hardware-checked GT on every reference</t>
  </si>
  <si>
    <t xml:space="preserve">Forged bit patterns, data-as-capability, out-of-bounds offsets all fault.</t>
  </si>
  <si>
    <t xml:space="preserve">Exhaustive over typ / tag / version fields; structured fuzz over offsets</t>
  </si>
  <si>
    <t xml:space="preserve">Proven (exhaustive)</t>
  </si>
  <si>
    <t xml:space="preserve">Strongest claim vs W7.</t>
  </si>
  <si>
    <t xml:space="preserve">Reflection: debugger breaks all boundaries</t>
  </si>
  <si>
    <t xml:space="preserve">4.3.4</t>
  </si>
  <si>
    <t xml:space="preserve">Dev/prod split — two root lumps differing by one c-list entry</t>
  </si>
  <si>
    <t xml:space="preserve">Reachability closure from prod root contains no debug authority.</t>
  </si>
  <si>
    <t xml:space="preserve">Graph closure over all c-lists reachable from prod root</t>
  </si>
  <si>
    <t xml:space="preserve">Proven (proof by closure)</t>
  </si>
  <si>
    <t xml:space="preserve">Stronger than a test.</t>
  </si>
  <si>
    <t xml:space="preserve">Ambient authority: ports, load, interaction-environment, dynamic-wind</t>
  </si>
  <si>
    <t xml:space="preserve">3.4</t>
  </si>
  <si>
    <t xml:space="preserve">Womb-and-cord birth; Enter-only outsider permission</t>
  </si>
  <si>
    <t xml:space="preserve">Newborn lump's reachable authority equals exactly what the womb granted.</t>
  </si>
  <si>
    <t xml:space="preserve">Authority census at birth for every lump type</t>
  </si>
  <si>
    <t xml:space="preserve">Authentication / sealing not supported</t>
  </si>
  <si>
    <t xml:space="preserve">2.3.3, 4.1</t>
  </si>
  <si>
    <t xml:space="preserve">Closable after spec fix</t>
  </si>
  <si>
    <t xml:space="preserve">Seals; Abstract GTs (typ=11), non-portable by construction</t>
  </si>
  <si>
    <t xml:space="preserve">Ratified (spec conflict)</t>
  </si>
  <si>
    <t xml:space="preserve">Unseal without unsealer faults; exporting an Abstract GT across namespaces faults.</t>
  </si>
  <si>
    <t xml:space="preserve">Exhaustive over namespace pairs</t>
  </si>
  <si>
    <t xml:space="preserve">Modelled until typ conflict resolved</t>
  </si>
  <si>
    <t xml:space="preserve">Resolve the §0 vs §6 typ contradiction first.</t>
  </si>
  <si>
    <t xml:space="preserve">Quotas: one program exhausts memory</t>
  </si>
  <si>
    <t xml:space="preserve">Closable with bounds</t>
  </si>
  <si>
    <t xml:space="preserve">Per-namespace tracing GC; eviction as pressure relief</t>
  </si>
  <si>
    <t xml:space="preserve">Hostile namespace allocates unboundedly; neighbours see no failure and latency within stated bound.</t>
  </si>
  <si>
    <t xml:space="preserve">Stress test across namespace counts</t>
  </si>
  <si>
    <t xml:space="preserve">Modelled (needs numeric bound)</t>
  </si>
  <si>
    <t xml:space="preserve">Define the latency bound.</t>
  </si>
  <si>
    <t xml:space="preserve">Persistence outside protection</t>
  </si>
  <si>
    <t xml:space="preserve">LUMP lifecycle</t>
  </si>
  <si>
    <t xml:space="preserve">Evict, reload, compare authority: identical; no file-system path involved.</t>
  </si>
  <si>
    <t xml:space="preserve">Round-trip every lump type</t>
  </si>
  <si>
    <t xml:space="preserve">Modelled</t>
  </si>
  <si>
    <t xml:space="preserve">Preemption / termination; engine response depends on nesting depth</t>
  </si>
  <si>
    <t xml:space="preserve">4.3.1</t>
  </si>
  <si>
    <t xml:space="preserve">Open in CTMM</t>
  </si>
  <si>
    <t xml:space="preserve">Not on file</t>
  </si>
  <si>
    <t xml:space="preserve">Unknown</t>
  </si>
  <si>
    <t xml:space="preserve">Callee loops or nests deeply; caller regains control in bounded time independent of depth.</t>
  </si>
  <si>
    <t xml:space="preserve">Sweep nesting depth; response time must be flat</t>
  </si>
  <si>
    <t xml:space="preserve">Speculative</t>
  </si>
  <si>
    <t xml:space="preserve">Hardest gap; critics probe first. Define mechanism.</t>
  </si>
  <si>
    <t xml:space="preserve">Continuations invoked multiple times</t>
  </si>
  <si>
    <t xml:space="preserve">4.3.2</t>
  </si>
  <si>
    <t xml:space="preserve">Callee retains its return path and invokes it twice; second call faults.</t>
  </si>
  <si>
    <t xml:space="preserve">All return paths</t>
  </si>
  <si>
    <t xml:space="preserve">Is return one-shot in the CTMM?</t>
  </si>
  <si>
    <t xml:space="preserve">Concurrency: shared cells</t>
  </si>
  <si>
    <t xml:space="preserve">Footnote 3</t>
  </si>
  <si>
    <t xml:space="preserve">Racing writers to a shared lump: serialized or faulted.</t>
  </si>
  <si>
    <t xml:space="preserve">Randomised interleavings</t>
  </si>
  <si>
    <t xml:space="preserve">Accountability: who acts for whom</t>
  </si>
  <si>
    <t xml:space="preserve">Partial</t>
  </si>
  <si>
    <t xml:space="preserve">Identity / seal architecture; pioneering window</t>
  </si>
  <si>
    <t xml:space="preserve">Ratified (partial)</t>
  </si>
  <si>
    <t xml:space="preserve">Every invocation attributable to originating womb.</t>
  </si>
  <si>
    <t xml:space="preserve">Trace every call chain in test suite</t>
  </si>
  <si>
    <t xml:space="preserve">Needs precise definition of 'accountable'.</t>
  </si>
  <si>
    <t xml:space="preserve">Schroeder problem: callee remembers/leaks inputs</t>
  </si>
  <si>
    <t xml:space="preserve">4.2.1</t>
  </si>
  <si>
    <t xml:space="preserve">Not closable by test</t>
  </si>
  <si>
    <t xml:space="preserve">Enter-only; no outward write authority at entry</t>
  </si>
  <si>
    <t xml:space="preserve">Inferred</t>
  </si>
  <si>
    <t xml:space="preserve">Reachability: callee holds no outward write authority at entry.</t>
  </si>
  <si>
    <t xml:space="preserve">Closure over callee c-list</t>
  </si>
  <si>
    <t xml:space="preserve">Proven for explicit channels; covert channels open</t>
  </si>
  <si>
    <t xml:space="preserve">State plainly that timing/covert channels remain.</t>
  </si>
  <si>
    <t xml:space="preserve">Undecidability of 'might divulge input'</t>
  </si>
  <si>
    <t xml:space="preserve">2.2.6</t>
  </si>
  <si>
    <t xml:space="preserve">—</t>
  </si>
  <si>
    <t xml:space="preserve">n/a</t>
  </si>
  <si>
    <t xml:space="preserve">Mathematical limit</t>
  </si>
  <si>
    <t xml:space="preserve">CTMM moves the line, does not remove it.</t>
  </si>
  <si>
    <t xml:space="preserve">Trust in administrator / manufacturing chain</t>
  </si>
  <si>
    <t xml:space="preserve">2.2.5</t>
  </si>
  <si>
    <t xml:space="preserve">Artix-7 silicon + bitstream toolchain</t>
  </si>
  <si>
    <t xml:space="preserve">Reproducible bitstreams narrow, do not close</t>
  </si>
  <si>
    <t xml:space="preserve">Out of test scope</t>
  </si>
  <si>
    <t xml:space="preserve">Distribution / remote invocation</t>
  </si>
  <si>
    <t xml:space="preserve">Out of scope</t>
  </si>
  <si>
    <t xml:space="preserve">Declare explicitly rather than leave implied.</t>
  </si>
  <si>
    <t xml:space="preserve">Summary by closure category</t>
  </si>
  <si>
    <t xml:space="preserve">Threats</t>
  </si>
  <si>
    <t xml:space="preserve">Passed</t>
  </si>
  <si>
    <t xml:space="preserve">Not run</t>
  </si>
  <si>
    <t xml:space="preserve">Total</t>
  </si>
  <si>
    <t xml:space="preserve">Test method</t>
  </si>
  <si>
    <t xml:space="preserve">What closes a threat</t>
  </si>
  <si>
    <t xml:space="preserve">A test only shows one attack failed. A threat is closed by: (1) a named CTMM mechanism, (2) an invariant true by construction, (3) an adversarial test plus a coverage argument. Small typ/tag fields make exhaustive coverage feasible.</t>
  </si>
  <si>
    <t xml:space="preserve">Step 1 — Baseline</t>
  </si>
  <si>
    <t xml:space="preserve">Write the attack as a W7 / Scheme 48 program and show it succeeds.</t>
  </si>
  <si>
    <t xml:space="preserve">Step 2 — Port</t>
  </si>
  <si>
    <t xml:space="preserve">Translate the same attack into a CTMM lump, using the telecom running example (dot.phone.Dial).</t>
  </si>
  <si>
    <t xml:space="preserve">Step 3 — Oracle</t>
  </si>
  <si>
    <t xml:space="preserve">State the expected fault: which fault, at which instruction, within what cycle bound (FPGA cycle counter).</t>
  </si>
  <si>
    <t xml:space="preserve">Step 4 — Coverage</t>
  </si>
  <si>
    <t xml:space="preserve">Run exhaustively or by structured fuzzing over the relevant field: GT typ, version, offset, or c-list slot.</t>
  </si>
  <si>
    <t xml:space="preserve">Pass criterion</t>
  </si>
  <si>
    <t xml:space="preserve">W7 baseline attack succeeds AND the CTMM version faults at the predicted point.</t>
  </si>
  <si>
    <t xml:space="preserve">Evidence classes</t>
  </si>
  <si>
    <t xml:space="preserve">Proven = invariant + exhaustive test or closure proof. Modelled = mechanism specified, bound or spec still to fix. Speculative = no mechanism on file.</t>
  </si>
  <si>
    <t xml:space="preserve">Source</t>
  </si>
  <si>
    <t xml:space="preserve">Rees, J. 'A Security Kernel Based on the Lambda-Calculus', MIT AI Memo 1564, 1996. https://dspace.mit.edu/handle/1721.1/5944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</si>
</sst>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32"/>
    <col collapsed="false" customWidth="true" hidden="false" outlineLevel="0" max="6" min="6" style="0" width="16"/>
    <col collapsed="false" customWidth="true" hidden="false" outlineLevel="0" max="7" min="7" style="0" width="42"/>
    <col collapsed="false" customWidth="true" hidden="false" outlineLevel="0" max="8" min="8" style="0" width="30"/>
    <col collapsed="false" customWidth="true" hidden="false" outlineLevel="0" max="9" min="9" style="0" width="22"/>
    <col collapsed="false" customWidth="true" hidden="false" outlineLevel="0" max="10" min="10" style="0" width="16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3" min="13" style="0" width="34"/>
  </cols>
  <sheetData>
    <row r="1" customFormat="false" ht="16.1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5" customFormat="false" ht="23.8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</row>
    <row r="6" customFormat="false" ht="35.05" hidden="false" customHeight="false" outlineLevel="0" collapsed="false">
      <c r="A6" s="5" t="n">
        <v>1</v>
      </c>
      <c r="B6" s="5" t="s">
        <v>16</v>
      </c>
      <c r="C6" s="5" t="s">
        <v>17</v>
      </c>
      <c r="D6" s="5" t="s">
        <v>18</v>
      </c>
      <c r="E6" s="5" t="s">
        <v>19</v>
      </c>
      <c r="F6" s="5" t="s">
        <v>20</v>
      </c>
      <c r="G6" s="5" t="s">
        <v>21</v>
      </c>
      <c r="H6" s="5" t="s">
        <v>22</v>
      </c>
      <c r="I6" s="5" t="s">
        <v>23</v>
      </c>
      <c r="J6" s="6"/>
      <c r="K6" s="6"/>
      <c r="L6" s="7" t="str">
        <f aca="false">IF(OR(J6="",K6=""),"Not run",IF(AND(J6="Attack succeeds",K6="Faults as predicted"),"PASS","FAIL"))</f>
        <v>Not run</v>
      </c>
      <c r="M6" s="6" t="s">
        <v>24</v>
      </c>
    </row>
    <row r="7" customFormat="false" ht="23.85" hidden="false" customHeight="false" outlineLevel="0" collapsed="false">
      <c r="A7" s="5" t="n">
        <v>2</v>
      </c>
      <c r="B7" s="5" t="s">
        <v>25</v>
      </c>
      <c r="C7" s="5" t="s">
        <v>26</v>
      </c>
      <c r="D7" s="5" t="s">
        <v>18</v>
      </c>
      <c r="E7" s="5" t="s">
        <v>27</v>
      </c>
      <c r="F7" s="5" t="s">
        <v>20</v>
      </c>
      <c r="G7" s="5" t="s">
        <v>28</v>
      </c>
      <c r="H7" s="5" t="s">
        <v>29</v>
      </c>
      <c r="I7" s="5" t="s">
        <v>30</v>
      </c>
      <c r="J7" s="6"/>
      <c r="K7" s="6"/>
      <c r="L7" s="7" t="str">
        <f aca="false">IF(OR(J7="",K7=""),"Not run",IF(AND(J7="Attack succeeds",K7="Faults as predicted"),"PASS","FAIL"))</f>
        <v>Not run</v>
      </c>
      <c r="M7" s="6" t="s">
        <v>31</v>
      </c>
    </row>
    <row r="8" customFormat="false" ht="23.85" hidden="false" customHeight="false" outlineLevel="0" collapsed="false">
      <c r="A8" s="5" t="n">
        <v>3</v>
      </c>
      <c r="B8" s="5" t="s">
        <v>32</v>
      </c>
      <c r="C8" s="5" t="s">
        <v>33</v>
      </c>
      <c r="D8" s="5" t="s">
        <v>18</v>
      </c>
      <c r="E8" s="5" t="s">
        <v>34</v>
      </c>
      <c r="F8" s="5" t="s">
        <v>20</v>
      </c>
      <c r="G8" s="5" t="s">
        <v>35</v>
      </c>
      <c r="H8" s="5" t="s">
        <v>36</v>
      </c>
      <c r="I8" s="5" t="s">
        <v>37</v>
      </c>
      <c r="J8" s="6"/>
      <c r="K8" s="6"/>
      <c r="L8" s="7" t="str">
        <f aca="false">IF(OR(J8="",K8=""),"Not run",IF(AND(J8="Attack succeeds",K8="Faults as predicted"),"PASS","FAIL"))</f>
        <v>Not run</v>
      </c>
      <c r="M8" s="6" t="s">
        <v>38</v>
      </c>
    </row>
    <row r="9" customFormat="false" ht="35.05" hidden="false" customHeight="false" outlineLevel="0" collapsed="false">
      <c r="A9" s="5" t="n">
        <v>4</v>
      </c>
      <c r="B9" s="5" t="s">
        <v>39</v>
      </c>
      <c r="C9" s="5" t="s">
        <v>40</v>
      </c>
      <c r="D9" s="5" t="s">
        <v>18</v>
      </c>
      <c r="E9" s="5" t="s">
        <v>41</v>
      </c>
      <c r="F9" s="5" t="s">
        <v>20</v>
      </c>
      <c r="G9" s="5" t="s">
        <v>42</v>
      </c>
      <c r="H9" s="5" t="s">
        <v>43</v>
      </c>
      <c r="I9" s="5" t="s">
        <v>23</v>
      </c>
      <c r="J9" s="6"/>
      <c r="K9" s="6"/>
      <c r="L9" s="7" t="str">
        <f aca="false">IF(OR(J9="",K9=""),"Not run",IF(AND(J9="Attack succeeds",K9="Faults as predicted"),"PASS","FAIL"))</f>
        <v>Not run</v>
      </c>
      <c r="M9" s="6"/>
    </row>
    <row r="10" customFormat="false" ht="23.85" hidden="false" customHeight="false" outlineLevel="0" collapsed="false">
      <c r="A10" s="5" t="n">
        <v>5</v>
      </c>
      <c r="B10" s="5" t="s">
        <v>44</v>
      </c>
      <c r="C10" s="5" t="s">
        <v>45</v>
      </c>
      <c r="D10" s="5" t="s">
        <v>46</v>
      </c>
      <c r="E10" s="5" t="s">
        <v>47</v>
      </c>
      <c r="F10" s="5" t="s">
        <v>48</v>
      </c>
      <c r="G10" s="5" t="s">
        <v>49</v>
      </c>
      <c r="H10" s="5" t="s">
        <v>50</v>
      </c>
      <c r="I10" s="5" t="s">
        <v>51</v>
      </c>
      <c r="J10" s="6"/>
      <c r="K10" s="6"/>
      <c r="L10" s="7" t="str">
        <f aca="false">IF(OR(J10="",K10=""),"Not run",IF(AND(J10="Attack succeeds",K10="Faults as predicted"),"PASS","FAIL"))</f>
        <v>Not run</v>
      </c>
      <c r="M10" s="6" t="s">
        <v>52</v>
      </c>
    </row>
    <row r="11" customFormat="false" ht="35.05" hidden="false" customHeight="false" outlineLevel="0" collapsed="false">
      <c r="A11" s="5" t="n">
        <v>6</v>
      </c>
      <c r="B11" s="5" t="s">
        <v>53</v>
      </c>
      <c r="C11" s="5" t="s">
        <v>17</v>
      </c>
      <c r="D11" s="5" t="s">
        <v>54</v>
      </c>
      <c r="E11" s="5" t="s">
        <v>55</v>
      </c>
      <c r="F11" s="5" t="s">
        <v>20</v>
      </c>
      <c r="G11" s="5" t="s">
        <v>56</v>
      </c>
      <c r="H11" s="5" t="s">
        <v>57</v>
      </c>
      <c r="I11" s="5" t="s">
        <v>58</v>
      </c>
      <c r="J11" s="6"/>
      <c r="K11" s="6"/>
      <c r="L11" s="7" t="str">
        <f aca="false">IF(OR(J11="",K11=""),"Not run",IF(AND(J11="Attack succeeds",K11="Faults as predicted"),"PASS","FAIL"))</f>
        <v>Not run</v>
      </c>
      <c r="M11" s="6" t="s">
        <v>59</v>
      </c>
    </row>
    <row r="12" customFormat="false" ht="23.85" hidden="false" customHeight="false" outlineLevel="0" collapsed="false">
      <c r="A12" s="5" t="n">
        <v>7</v>
      </c>
      <c r="B12" s="5" t="s">
        <v>60</v>
      </c>
      <c r="C12" s="5" t="s">
        <v>17</v>
      </c>
      <c r="D12" s="5" t="s">
        <v>54</v>
      </c>
      <c r="E12" s="5" t="s">
        <v>61</v>
      </c>
      <c r="F12" s="5" t="s">
        <v>20</v>
      </c>
      <c r="G12" s="5" t="s">
        <v>62</v>
      </c>
      <c r="H12" s="5" t="s">
        <v>63</v>
      </c>
      <c r="I12" s="5" t="s">
        <v>64</v>
      </c>
      <c r="J12" s="6"/>
      <c r="K12" s="6"/>
      <c r="L12" s="7" t="str">
        <f aca="false">IF(OR(J12="",K12=""),"Not run",IF(AND(J12="Attack succeeds",K12="Faults as predicted"),"PASS","FAIL"))</f>
        <v>Not run</v>
      </c>
      <c r="M12" s="6"/>
    </row>
    <row r="13" customFormat="false" ht="23.85" hidden="false" customHeight="false" outlineLevel="0" collapsed="false">
      <c r="A13" s="5" t="n">
        <v>8</v>
      </c>
      <c r="B13" s="5" t="s">
        <v>65</v>
      </c>
      <c r="C13" s="5" t="s">
        <v>66</v>
      </c>
      <c r="D13" s="5" t="s">
        <v>67</v>
      </c>
      <c r="E13" s="5" t="s">
        <v>68</v>
      </c>
      <c r="F13" s="5" t="s">
        <v>69</v>
      </c>
      <c r="G13" s="5" t="s">
        <v>70</v>
      </c>
      <c r="H13" s="5" t="s">
        <v>71</v>
      </c>
      <c r="I13" s="5" t="s">
        <v>72</v>
      </c>
      <c r="J13" s="6"/>
      <c r="K13" s="6"/>
      <c r="L13" s="7" t="str">
        <f aca="false">IF(OR(J13="",K13=""),"Not run",IF(AND(J13="Attack succeeds",K13="Faults as predicted"),"PASS","FAIL"))</f>
        <v>Not run</v>
      </c>
      <c r="M13" s="6" t="s">
        <v>73</v>
      </c>
    </row>
    <row r="14" customFormat="false" ht="23.85" hidden="false" customHeight="false" outlineLevel="0" collapsed="false">
      <c r="A14" s="5" t="n">
        <v>9</v>
      </c>
      <c r="B14" s="5" t="s">
        <v>74</v>
      </c>
      <c r="C14" s="5" t="s">
        <v>75</v>
      </c>
      <c r="D14" s="5" t="s">
        <v>67</v>
      </c>
      <c r="E14" s="5" t="s">
        <v>68</v>
      </c>
      <c r="F14" s="5" t="s">
        <v>69</v>
      </c>
      <c r="G14" s="5" t="s">
        <v>76</v>
      </c>
      <c r="H14" s="5" t="s">
        <v>77</v>
      </c>
      <c r="I14" s="5" t="s">
        <v>72</v>
      </c>
      <c r="J14" s="6"/>
      <c r="K14" s="6"/>
      <c r="L14" s="7" t="str">
        <f aca="false">IF(OR(J14="",K14=""),"Not run",IF(AND(J14="Attack succeeds",K14="Faults as predicted"),"PASS","FAIL"))</f>
        <v>Not run</v>
      </c>
      <c r="M14" s="6" t="s">
        <v>78</v>
      </c>
    </row>
    <row r="15" customFormat="false" ht="23.85" hidden="false" customHeight="false" outlineLevel="0" collapsed="false">
      <c r="A15" s="5" t="n">
        <v>10</v>
      </c>
      <c r="B15" s="5" t="s">
        <v>79</v>
      </c>
      <c r="C15" s="5" t="s">
        <v>80</v>
      </c>
      <c r="D15" s="5" t="s">
        <v>67</v>
      </c>
      <c r="E15" s="5" t="s">
        <v>68</v>
      </c>
      <c r="F15" s="5" t="s">
        <v>69</v>
      </c>
      <c r="G15" s="5" t="s">
        <v>81</v>
      </c>
      <c r="H15" s="5" t="s">
        <v>82</v>
      </c>
      <c r="I15" s="5" t="s">
        <v>72</v>
      </c>
      <c r="J15" s="6"/>
      <c r="K15" s="6"/>
      <c r="L15" s="7" t="str">
        <f aca="false">IF(OR(J15="",K15=""),"Not run",IF(AND(J15="Attack succeeds",K15="Faults as predicted"),"PASS","FAIL"))</f>
        <v>Not run</v>
      </c>
      <c r="M15" s="6"/>
    </row>
    <row r="16" customFormat="false" ht="23.85" hidden="false" customHeight="false" outlineLevel="0" collapsed="false">
      <c r="A16" s="5" t="n">
        <v>11</v>
      </c>
      <c r="B16" s="5" t="s">
        <v>83</v>
      </c>
      <c r="C16" s="5" t="s">
        <v>17</v>
      </c>
      <c r="D16" s="5" t="s">
        <v>84</v>
      </c>
      <c r="E16" s="5" t="s">
        <v>85</v>
      </c>
      <c r="F16" s="5" t="s">
        <v>86</v>
      </c>
      <c r="G16" s="5" t="s">
        <v>87</v>
      </c>
      <c r="H16" s="5" t="s">
        <v>88</v>
      </c>
      <c r="I16" s="5" t="s">
        <v>64</v>
      </c>
      <c r="J16" s="6"/>
      <c r="K16" s="6"/>
      <c r="L16" s="7" t="str">
        <f aca="false">IF(OR(J16="",K16=""),"Not run",IF(AND(J16="Attack succeeds",K16="Faults as predicted"),"PASS","FAIL"))</f>
        <v>Not run</v>
      </c>
      <c r="M16" s="6" t="s">
        <v>89</v>
      </c>
    </row>
    <row r="17" customFormat="false" ht="35.05" hidden="false" customHeight="false" outlineLevel="0" collapsed="false">
      <c r="A17" s="5" t="n">
        <v>12</v>
      </c>
      <c r="B17" s="5" t="s">
        <v>90</v>
      </c>
      <c r="C17" s="5" t="s">
        <v>91</v>
      </c>
      <c r="D17" s="5" t="s">
        <v>92</v>
      </c>
      <c r="E17" s="5" t="s">
        <v>93</v>
      </c>
      <c r="F17" s="5" t="s">
        <v>94</v>
      </c>
      <c r="G17" s="5" t="s">
        <v>95</v>
      </c>
      <c r="H17" s="5" t="s">
        <v>96</v>
      </c>
      <c r="I17" s="5" t="s">
        <v>97</v>
      </c>
      <c r="J17" s="6"/>
      <c r="K17" s="6"/>
      <c r="L17" s="7" t="str">
        <f aca="false">IF(OR(J17="",K17=""),"Not run",IF(AND(J17="Attack succeeds",K17="Faults as predicted"),"PASS","FAIL"))</f>
        <v>Not run</v>
      </c>
      <c r="M17" s="6" t="s">
        <v>98</v>
      </c>
    </row>
    <row r="18" customFormat="false" ht="23.85" hidden="false" customHeight="false" outlineLevel="0" collapsed="false">
      <c r="A18" s="5" t="n">
        <v>13</v>
      </c>
      <c r="B18" s="5" t="s">
        <v>99</v>
      </c>
      <c r="C18" s="5" t="s">
        <v>100</v>
      </c>
      <c r="D18" s="5" t="s">
        <v>92</v>
      </c>
      <c r="E18" s="5" t="s">
        <v>101</v>
      </c>
      <c r="F18" s="5" t="s">
        <v>102</v>
      </c>
      <c r="G18" s="5" t="s">
        <v>101</v>
      </c>
      <c r="H18" s="5" t="s">
        <v>101</v>
      </c>
      <c r="I18" s="5" t="s">
        <v>103</v>
      </c>
      <c r="J18" s="6"/>
      <c r="K18" s="6"/>
      <c r="L18" s="7" t="str">
        <f aca="false">IF(OR(J18="",K18=""),"Not run",IF(AND(J18="Attack succeeds",K18="Faults as predicted"),"PASS","FAIL"))</f>
        <v>Not run</v>
      </c>
      <c r="M18" s="6" t="s">
        <v>104</v>
      </c>
    </row>
    <row r="19" customFormat="false" ht="23.85" hidden="false" customHeight="false" outlineLevel="0" collapsed="false">
      <c r="A19" s="5" t="n">
        <v>14</v>
      </c>
      <c r="B19" s="5" t="s">
        <v>105</v>
      </c>
      <c r="C19" s="5" t="s">
        <v>106</v>
      </c>
      <c r="D19" s="5" t="s">
        <v>92</v>
      </c>
      <c r="E19" s="5" t="s">
        <v>107</v>
      </c>
      <c r="F19" s="5" t="s">
        <v>102</v>
      </c>
      <c r="G19" s="5" t="s">
        <v>101</v>
      </c>
      <c r="H19" s="5" t="s">
        <v>108</v>
      </c>
      <c r="I19" s="5" t="s">
        <v>109</v>
      </c>
      <c r="J19" s="6"/>
      <c r="K19" s="6"/>
      <c r="L19" s="7" t="str">
        <f aca="false">IF(OR(J19="",K19=""),"Not run",IF(AND(J19="Attack succeeds",K19="Faults as predicted"),"PASS","FAIL"))</f>
        <v>Not run</v>
      </c>
      <c r="M19" s="6"/>
    </row>
    <row r="20" customFormat="false" ht="23.85" hidden="false" customHeight="false" outlineLevel="0" collapsed="false">
      <c r="A20" s="5" t="n">
        <v>15</v>
      </c>
      <c r="B20" s="5" t="s">
        <v>110</v>
      </c>
      <c r="C20" s="5" t="s">
        <v>17</v>
      </c>
      <c r="D20" s="5" t="s">
        <v>111</v>
      </c>
      <c r="E20" s="5" t="s">
        <v>101</v>
      </c>
      <c r="F20" s="5" t="s">
        <v>102</v>
      </c>
      <c r="G20" s="5" t="s">
        <v>101</v>
      </c>
      <c r="H20" s="5" t="s">
        <v>101</v>
      </c>
      <c r="I20" s="5" t="s">
        <v>111</v>
      </c>
      <c r="J20" s="6"/>
      <c r="K20" s="6"/>
      <c r="L20" s="7" t="str">
        <f aca="false">IF(OR(J20="",K20=""),"Not run",IF(AND(J20="Attack succeeds",K20="Faults as predicted"),"PASS","FAIL"))</f>
        <v>Not run</v>
      </c>
      <c r="M20" s="6" t="s">
        <v>112</v>
      </c>
    </row>
  </sheetData>
  <autoFilter ref="A5:M20"/>
  <mergeCells count="2">
    <mergeCell ref="A2:N2"/>
    <mergeCell ref="A3:N3"/>
  </mergeCells>
  <dataValidations count="2">
    <dataValidation allowBlank="true" errorStyle="stop" operator="between" showDropDown="false" showErrorMessage="false" showInputMessage="false" sqref="J6:J20" type="list">
      <formula1>"Attack succeeds,Attack fails,Not applicable"</formula1>
      <formula2>0</formula2>
    </dataValidation>
    <dataValidation allowBlank="true" errorStyle="stop" operator="between" showDropDown="false" showErrorMessage="false" showInputMessage="false" sqref="K6:K20" type="list">
      <formula1>"Faults as predicted,Faults elsewhere,No fault,Not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2"/>
  </cols>
  <sheetData>
    <row r="1" customFormat="false" ht="16.15" hidden="false" customHeight="false" outlineLevel="0" collapsed="false">
      <c r="A1" s="1" t="s">
        <v>113</v>
      </c>
    </row>
    <row r="3" customFormat="false" ht="15" hidden="false" customHeight="false" outlineLevel="0" collapsed="false">
      <c r="A3" s="8" t="s">
        <v>6</v>
      </c>
      <c r="B3" s="8" t="s">
        <v>114</v>
      </c>
      <c r="C3" s="8" t="s">
        <v>115</v>
      </c>
      <c r="D3" s="8" t="s">
        <v>116</v>
      </c>
    </row>
    <row r="4" customFormat="false" ht="15" hidden="false" customHeight="false" outlineLevel="0" collapsed="false">
      <c r="A4" s="9" t="s">
        <v>18</v>
      </c>
      <c r="B4" s="9" t="n">
        <f aca="false">COUNTIF('Threat Map'!$D$6:$D$20,A4)</f>
        <v>4</v>
      </c>
      <c r="C4" s="9" t="n">
        <f aca="false">COUNTIFS('Threat Map'!$D$6:$D$20,A4,'Threat Map'!$L$6:$L$20,"PASS")</f>
        <v>0</v>
      </c>
      <c r="D4" s="9" t="n">
        <f aca="false">COUNTIFS('Threat Map'!$D$6:$D$20,A4,'Threat Map'!$L$6:$L$20,"Not run")</f>
        <v>4</v>
      </c>
    </row>
    <row r="5" customFormat="false" ht="15" hidden="false" customHeight="false" outlineLevel="0" collapsed="false">
      <c r="A5" s="9" t="s">
        <v>46</v>
      </c>
      <c r="B5" s="9" t="n">
        <f aca="false">COUNTIF('Threat Map'!$D$6:$D$20,A5)</f>
        <v>1</v>
      </c>
      <c r="C5" s="9" t="n">
        <f aca="false">COUNTIFS('Threat Map'!$D$6:$D$20,A5,'Threat Map'!$L$6:$L$20,"PASS")</f>
        <v>0</v>
      </c>
      <c r="D5" s="9" t="n">
        <f aca="false">COUNTIFS('Threat Map'!$D$6:$D$20,A5,'Threat Map'!$L$6:$L$20,"Not run")</f>
        <v>1</v>
      </c>
    </row>
    <row r="6" customFormat="false" ht="15" hidden="false" customHeight="false" outlineLevel="0" collapsed="false">
      <c r="A6" s="9" t="s">
        <v>54</v>
      </c>
      <c r="B6" s="9" t="n">
        <f aca="false">COUNTIF('Threat Map'!$D$6:$D$20,A6)</f>
        <v>2</v>
      </c>
      <c r="C6" s="9" t="n">
        <f aca="false">COUNTIFS('Threat Map'!$D$6:$D$20,A6,'Threat Map'!$L$6:$L$20,"PASS")</f>
        <v>0</v>
      </c>
      <c r="D6" s="9" t="n">
        <f aca="false">COUNTIFS('Threat Map'!$D$6:$D$20,A6,'Threat Map'!$L$6:$L$20,"Not run")</f>
        <v>2</v>
      </c>
    </row>
    <row r="7" customFormat="false" ht="15" hidden="false" customHeight="false" outlineLevel="0" collapsed="false">
      <c r="A7" s="9" t="s">
        <v>84</v>
      </c>
      <c r="B7" s="9" t="n">
        <f aca="false">COUNTIF('Threat Map'!$D$6:$D$20,A7)</f>
        <v>1</v>
      </c>
      <c r="C7" s="9" t="n">
        <f aca="false">COUNTIFS('Threat Map'!$D$6:$D$20,A7,'Threat Map'!$L$6:$L$20,"PASS")</f>
        <v>0</v>
      </c>
      <c r="D7" s="9" t="n">
        <f aca="false">COUNTIFS('Threat Map'!$D$6:$D$20,A7,'Threat Map'!$L$6:$L$20,"Not run")</f>
        <v>1</v>
      </c>
    </row>
    <row r="8" customFormat="false" ht="15" hidden="false" customHeight="false" outlineLevel="0" collapsed="false">
      <c r="A8" s="9" t="s">
        <v>67</v>
      </c>
      <c r="B8" s="9" t="n">
        <f aca="false">COUNTIF('Threat Map'!$D$6:$D$20,A8)</f>
        <v>3</v>
      </c>
      <c r="C8" s="9" t="n">
        <f aca="false">COUNTIFS('Threat Map'!$D$6:$D$20,A8,'Threat Map'!$L$6:$L$20,"PASS")</f>
        <v>0</v>
      </c>
      <c r="D8" s="9" t="n">
        <f aca="false">COUNTIFS('Threat Map'!$D$6:$D$20,A8,'Threat Map'!$L$6:$L$20,"Not run")</f>
        <v>3</v>
      </c>
    </row>
    <row r="9" customFormat="false" ht="15" hidden="false" customHeight="false" outlineLevel="0" collapsed="false">
      <c r="A9" s="9" t="s">
        <v>92</v>
      </c>
      <c r="B9" s="9" t="n">
        <f aca="false">COUNTIF('Threat Map'!$D$6:$D$20,A9)</f>
        <v>3</v>
      </c>
      <c r="C9" s="9" t="n">
        <f aca="false">COUNTIFS('Threat Map'!$D$6:$D$20,A9,'Threat Map'!$L$6:$L$20,"PASS")</f>
        <v>0</v>
      </c>
      <c r="D9" s="9" t="n">
        <f aca="false">COUNTIFS('Threat Map'!$D$6:$D$20,A9,'Threat Map'!$L$6:$L$20,"Not run")</f>
        <v>3</v>
      </c>
    </row>
    <row r="10" customFormat="false" ht="15" hidden="false" customHeight="false" outlineLevel="0" collapsed="false">
      <c r="A10" s="9" t="s">
        <v>111</v>
      </c>
      <c r="B10" s="9" t="n">
        <f aca="false">COUNTIF('Threat Map'!$D$6:$D$20,A10)</f>
        <v>1</v>
      </c>
      <c r="C10" s="9" t="n">
        <f aca="false">COUNTIFS('Threat Map'!$D$6:$D$20,A10,'Threat Map'!$L$6:$L$20,"PASS")</f>
        <v>0</v>
      </c>
      <c r="D10" s="9" t="n">
        <f aca="false">COUNTIFS('Threat Map'!$D$6:$D$20,A10,'Threat Map'!$L$6:$L$20,"Not run")</f>
        <v>1</v>
      </c>
    </row>
    <row r="11" customFormat="false" ht="15" hidden="false" customHeight="false" outlineLevel="0" collapsed="false">
      <c r="A11" s="10" t="s">
        <v>117</v>
      </c>
      <c r="B11" s="10" t="n">
        <f aca="false">SUM(B4:B10)</f>
        <v>15</v>
      </c>
      <c r="C11" s="10" t="n">
        <f aca="false">SUM(C4:C10)</f>
        <v>0</v>
      </c>
      <c r="D11" s="10" t="n">
        <f aca="false">SUM(D4:D10)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0"/>
  </cols>
  <sheetData>
    <row r="1" customFormat="false" ht="16.15" hidden="false" customHeight="false" outlineLevel="0" collapsed="false">
      <c r="A1" s="1" t="s">
        <v>118</v>
      </c>
    </row>
    <row r="3" customFormat="false" ht="23.85" hidden="false" customHeight="false" outlineLevel="0" collapsed="false">
      <c r="A3" s="11" t="s">
        <v>119</v>
      </c>
      <c r="B3" s="12" t="s">
        <v>120</v>
      </c>
    </row>
    <row r="4" customFormat="false" ht="15" hidden="false" customHeight="false" outlineLevel="0" collapsed="false">
      <c r="A4" s="11" t="s">
        <v>121</v>
      </c>
      <c r="B4" s="12" t="s">
        <v>122</v>
      </c>
    </row>
    <row r="5" customFormat="false" ht="15" hidden="false" customHeight="false" outlineLevel="0" collapsed="false">
      <c r="A5" s="11" t="s">
        <v>123</v>
      </c>
      <c r="B5" s="12" t="s">
        <v>124</v>
      </c>
    </row>
    <row r="6" customFormat="false" ht="15" hidden="false" customHeight="false" outlineLevel="0" collapsed="false">
      <c r="A6" s="11" t="s">
        <v>125</v>
      </c>
      <c r="B6" s="12" t="s">
        <v>126</v>
      </c>
    </row>
    <row r="7" customFormat="false" ht="15" hidden="false" customHeight="false" outlineLevel="0" collapsed="false">
      <c r="A7" s="11" t="s">
        <v>127</v>
      </c>
      <c r="B7" s="12" t="s">
        <v>128</v>
      </c>
    </row>
    <row r="8" customFormat="false" ht="15" hidden="false" customHeight="false" outlineLevel="0" collapsed="false">
      <c r="A8" s="11" t="s">
        <v>129</v>
      </c>
      <c r="B8" s="12" t="s">
        <v>130</v>
      </c>
    </row>
    <row r="9" customFormat="false" ht="23.85" hidden="false" customHeight="false" outlineLevel="0" collapsed="false">
      <c r="A9" s="11" t="s">
        <v>131</v>
      </c>
      <c r="B9" s="12" t="s">
        <v>132</v>
      </c>
    </row>
    <row r="10" customFormat="false" ht="23.85" hidden="false" customHeight="false" outlineLevel="0" collapsed="false">
      <c r="A10" s="11" t="s">
        <v>133</v>
      </c>
      <c r="B10" s="1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2026-10-16T19:37:50Z</dcterms:created>
  <dc:creator>openpyxl</dc:creator>
  <dc:description/>
  <dc:language>en-US</dc:language>
  <cp:lastModifiedBy/>
  <dcterms:modified xsi:type="dcterms:W3CDTF">2026-10-16T19:37:50Z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